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L:\Users\Jaime\2018 Manuscript Revisions\"/>
    </mc:Choice>
  </mc:AlternateContent>
  <bookViews>
    <workbookView xWindow="0" yWindow="0" windowWidth="25200" windowHeight="11850"/>
  </bookViews>
  <sheets>
    <sheet name="Treatment Master List" sheetId="1" r:id="rId1"/>
    <sheet name="Active Ingredient Key" sheetId="2" r:id="rId2"/>
    <sheet name="Timing Key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552" i="1" l="1"/>
  <c r="M438" i="1"/>
  <c r="M316" i="1"/>
  <c r="M288" i="1"/>
  <c r="M233" i="1"/>
  <c r="M190" i="1"/>
  <c r="M168" i="1"/>
  <c r="M126" i="1"/>
  <c r="M104" i="1"/>
  <c r="M62" i="1"/>
  <c r="M17" i="1"/>
  <c r="L1004" i="1"/>
  <c r="L961" i="1"/>
  <c r="L940" i="1"/>
  <c r="L739" i="1"/>
  <c r="L728" i="1"/>
  <c r="L707" i="1"/>
  <c r="L696" i="1"/>
  <c r="L677" i="1"/>
  <c r="L669" i="1"/>
  <c r="L661" i="1"/>
  <c r="L653" i="1"/>
  <c r="L645" i="1"/>
  <c r="L637" i="1"/>
  <c r="L629" i="1"/>
  <c r="L621" i="1"/>
  <c r="L613" i="1"/>
  <c r="L605" i="1"/>
  <c r="L597" i="1"/>
  <c r="L589" i="1"/>
  <c r="L581" i="1"/>
  <c r="L573" i="1"/>
  <c r="L565" i="1"/>
  <c r="L557" i="1"/>
  <c r="L549" i="1"/>
  <c r="L541" i="1"/>
  <c r="L533" i="1"/>
  <c r="L525" i="1"/>
  <c r="L517" i="1"/>
  <c r="L509" i="1"/>
  <c r="L501" i="1"/>
  <c r="L493" i="1"/>
  <c r="L485" i="1"/>
  <c r="L477" i="1"/>
  <c r="L469" i="1"/>
  <c r="L461" i="1"/>
  <c r="L453" i="1"/>
  <c r="L445" i="1"/>
  <c r="L437" i="1"/>
  <c r="L429" i="1"/>
  <c r="L421" i="1"/>
  <c r="L413" i="1"/>
  <c r="L405" i="1"/>
  <c r="L397" i="1"/>
  <c r="L389" i="1"/>
  <c r="L381" i="1"/>
  <c r="L373" i="1"/>
  <c r="L365" i="1"/>
  <c r="L357" i="1"/>
  <c r="L349" i="1"/>
  <c r="L341" i="1"/>
  <c r="L337" i="1"/>
  <c r="L333" i="1"/>
  <c r="L329" i="1"/>
  <c r="L325" i="1"/>
  <c r="L321" i="1"/>
  <c r="L317" i="1"/>
  <c r="L313" i="1"/>
  <c r="L309" i="1"/>
  <c r="L305" i="1"/>
  <c r="L301" i="1"/>
  <c r="L297" i="1"/>
  <c r="L293" i="1"/>
  <c r="L289" i="1"/>
  <c r="L285" i="1"/>
  <c r="L281" i="1"/>
  <c r="L277" i="1"/>
  <c r="L273" i="1"/>
  <c r="L269" i="1"/>
  <c r="L265" i="1"/>
  <c r="L261" i="1"/>
  <c r="L257" i="1"/>
  <c r="L253" i="1"/>
  <c r="L249" i="1"/>
  <c r="L245" i="1"/>
  <c r="L241" i="1"/>
  <c r="L237" i="1"/>
  <c r="L233" i="1"/>
  <c r="L229" i="1"/>
  <c r="L225" i="1"/>
  <c r="L221" i="1"/>
  <c r="L217" i="1"/>
  <c r="L213" i="1"/>
  <c r="L209" i="1"/>
  <c r="L205" i="1"/>
  <c r="L201" i="1"/>
  <c r="L197" i="1"/>
  <c r="L193" i="1"/>
  <c r="L189" i="1"/>
  <c r="L185" i="1"/>
  <c r="L181" i="1"/>
  <c r="L177" i="1"/>
  <c r="L173" i="1"/>
  <c r="L169" i="1"/>
  <c r="L165" i="1"/>
  <c r="L161" i="1"/>
  <c r="L157" i="1"/>
  <c r="L153" i="1"/>
  <c r="L149" i="1"/>
  <c r="L145" i="1"/>
  <c r="L141" i="1"/>
  <c r="L137" i="1"/>
  <c r="L133" i="1"/>
  <c r="L129" i="1"/>
  <c r="L125" i="1"/>
  <c r="L121" i="1"/>
  <c r="L117" i="1"/>
  <c r="L113" i="1"/>
  <c r="L109" i="1"/>
  <c r="L105" i="1"/>
  <c r="L101" i="1"/>
  <c r="L97" i="1"/>
  <c r="L93" i="1"/>
  <c r="L89" i="1"/>
  <c r="L85" i="1"/>
  <c r="L81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1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K39" i="1"/>
  <c r="M39" i="1" s="1"/>
  <c r="K40" i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K241" i="1"/>
  <c r="M241" i="1" s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K250" i="1"/>
  <c r="M250" i="1" s="1"/>
  <c r="K251" i="1"/>
  <c r="M251" i="1" s="1"/>
  <c r="K252" i="1"/>
  <c r="M252" i="1" s="1"/>
  <c r="K253" i="1"/>
  <c r="K254" i="1"/>
  <c r="M254" i="1" s="1"/>
  <c r="K255" i="1"/>
  <c r="K256" i="1"/>
  <c r="M256" i="1" s="1"/>
  <c r="K257" i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K351" i="1"/>
  <c r="M351" i="1" s="1"/>
  <c r="K352" i="1"/>
  <c r="K353" i="1"/>
  <c r="M353" i="1" s="1"/>
  <c r="K354" i="1"/>
  <c r="M354" i="1" s="1"/>
  <c r="K355" i="1"/>
  <c r="K356" i="1"/>
  <c r="M356" i="1" s="1"/>
  <c r="K357" i="1"/>
  <c r="M357" i="1" s="1"/>
  <c r="K358" i="1"/>
  <c r="K359" i="1"/>
  <c r="M359" i="1" s="1"/>
  <c r="K360" i="1"/>
  <c r="M360" i="1" s="1"/>
  <c r="K361" i="1"/>
  <c r="K362" i="1"/>
  <c r="M362" i="1" s="1"/>
  <c r="K363" i="1"/>
  <c r="M363" i="1" s="1"/>
  <c r="K364" i="1"/>
  <c r="M364" i="1" s="1"/>
  <c r="K365" i="1"/>
  <c r="M365" i="1" s="1"/>
  <c r="K366" i="1"/>
  <c r="M366" i="1" s="1"/>
  <c r="K367" i="1"/>
  <c r="M367" i="1" s="1"/>
  <c r="K368" i="1"/>
  <c r="M368" i="1" s="1"/>
  <c r="K369" i="1"/>
  <c r="K370" i="1"/>
  <c r="M370" i="1" s="1"/>
  <c r="K371" i="1"/>
  <c r="M371" i="1" s="1"/>
  <c r="K372" i="1"/>
  <c r="M372" i="1" s="1"/>
  <c r="K373" i="1"/>
  <c r="M373" i="1" s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M396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2" i="1"/>
  <c r="M412" i="1" s="1"/>
  <c r="K413" i="1"/>
  <c r="M413" i="1" s="1"/>
  <c r="K414" i="1"/>
  <c r="M414" i="1" s="1"/>
  <c r="K415" i="1"/>
  <c r="M415" i="1" s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M421" i="1" s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M431" i="1" s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K439" i="1"/>
  <c r="M439" i="1" s="1"/>
  <c r="K440" i="1"/>
  <c r="M440" i="1" s="1"/>
  <c r="K441" i="1"/>
  <c r="M441" i="1" s="1"/>
  <c r="K442" i="1"/>
  <c r="M442" i="1" s="1"/>
  <c r="K443" i="1"/>
  <c r="M443" i="1" s="1"/>
  <c r="K444" i="1"/>
  <c r="M444" i="1" s="1"/>
  <c r="K445" i="1"/>
  <c r="M445" i="1" s="1"/>
  <c r="K446" i="1"/>
  <c r="M446" i="1" s="1"/>
  <c r="K447" i="1"/>
  <c r="M447" i="1" s="1"/>
  <c r="K448" i="1"/>
  <c r="M448" i="1" s="1"/>
  <c r="K449" i="1"/>
  <c r="M449" i="1" s="1"/>
  <c r="K450" i="1"/>
  <c r="M450" i="1" s="1"/>
  <c r="K451" i="1"/>
  <c r="M451" i="1" s="1"/>
  <c r="K452" i="1"/>
  <c r="M452" i="1" s="1"/>
  <c r="K453" i="1"/>
  <c r="M453" i="1" s="1"/>
  <c r="K454" i="1"/>
  <c r="M454" i="1" s="1"/>
  <c r="K455" i="1"/>
  <c r="M455" i="1" s="1"/>
  <c r="K456" i="1"/>
  <c r="M456" i="1" s="1"/>
  <c r="K457" i="1"/>
  <c r="M457" i="1" s="1"/>
  <c r="K458" i="1"/>
  <c r="M458" i="1" s="1"/>
  <c r="K459" i="1"/>
  <c r="M459" i="1" s="1"/>
  <c r="K460" i="1"/>
  <c r="M460" i="1" s="1"/>
  <c r="K461" i="1"/>
  <c r="M461" i="1" s="1"/>
  <c r="K462" i="1"/>
  <c r="M462" i="1" s="1"/>
  <c r="K463" i="1"/>
  <c r="M463" i="1" s="1"/>
  <c r="K464" i="1"/>
  <c r="M464" i="1" s="1"/>
  <c r="K465" i="1"/>
  <c r="M465" i="1" s="1"/>
  <c r="K466" i="1"/>
  <c r="M466" i="1" s="1"/>
  <c r="K467" i="1"/>
  <c r="M467" i="1" s="1"/>
  <c r="K468" i="1"/>
  <c r="M468" i="1" s="1"/>
  <c r="K469" i="1"/>
  <c r="M469" i="1" s="1"/>
  <c r="K470" i="1"/>
  <c r="M470" i="1" s="1"/>
  <c r="K471" i="1"/>
  <c r="M471" i="1" s="1"/>
  <c r="K472" i="1"/>
  <c r="M472" i="1" s="1"/>
  <c r="K473" i="1"/>
  <c r="M473" i="1" s="1"/>
  <c r="K474" i="1"/>
  <c r="M474" i="1" s="1"/>
  <c r="K475" i="1"/>
  <c r="M475" i="1" s="1"/>
  <c r="K476" i="1"/>
  <c r="M476" i="1" s="1"/>
  <c r="K477" i="1"/>
  <c r="M477" i="1" s="1"/>
  <c r="K478" i="1"/>
  <c r="M478" i="1" s="1"/>
  <c r="K479" i="1"/>
  <c r="M479" i="1" s="1"/>
  <c r="K480" i="1"/>
  <c r="M480" i="1" s="1"/>
  <c r="K481" i="1"/>
  <c r="M481" i="1" s="1"/>
  <c r="K482" i="1"/>
  <c r="M482" i="1" s="1"/>
  <c r="K483" i="1"/>
  <c r="M483" i="1" s="1"/>
  <c r="K484" i="1"/>
  <c r="M484" i="1" s="1"/>
  <c r="K485" i="1"/>
  <c r="M485" i="1" s="1"/>
  <c r="K486" i="1"/>
  <c r="M486" i="1" s="1"/>
  <c r="K487" i="1"/>
  <c r="M487" i="1" s="1"/>
  <c r="K488" i="1"/>
  <c r="M488" i="1" s="1"/>
  <c r="K489" i="1"/>
  <c r="M489" i="1" s="1"/>
  <c r="K490" i="1"/>
  <c r="M490" i="1" s="1"/>
  <c r="K491" i="1"/>
  <c r="M491" i="1" s="1"/>
  <c r="K492" i="1"/>
  <c r="M492" i="1" s="1"/>
  <c r="K493" i="1"/>
  <c r="M493" i="1" s="1"/>
  <c r="K494" i="1"/>
  <c r="M494" i="1" s="1"/>
  <c r="K495" i="1"/>
  <c r="M495" i="1" s="1"/>
  <c r="K496" i="1"/>
  <c r="M496" i="1" s="1"/>
  <c r="K497" i="1"/>
  <c r="M497" i="1" s="1"/>
  <c r="K498" i="1"/>
  <c r="M498" i="1" s="1"/>
  <c r="K499" i="1"/>
  <c r="M499" i="1" s="1"/>
  <c r="K500" i="1"/>
  <c r="M500" i="1" s="1"/>
  <c r="K501" i="1"/>
  <c r="M501" i="1" s="1"/>
  <c r="K502" i="1"/>
  <c r="M502" i="1" s="1"/>
  <c r="K503" i="1"/>
  <c r="M503" i="1" s="1"/>
  <c r="K504" i="1"/>
  <c r="M504" i="1" s="1"/>
  <c r="K505" i="1"/>
  <c r="M505" i="1" s="1"/>
  <c r="K506" i="1"/>
  <c r="M506" i="1" s="1"/>
  <c r="K507" i="1"/>
  <c r="M507" i="1" s="1"/>
  <c r="K508" i="1"/>
  <c r="M508" i="1" s="1"/>
  <c r="K509" i="1"/>
  <c r="M509" i="1" s="1"/>
  <c r="K510" i="1"/>
  <c r="M510" i="1" s="1"/>
  <c r="K511" i="1"/>
  <c r="M511" i="1" s="1"/>
  <c r="K512" i="1"/>
  <c r="M512" i="1" s="1"/>
  <c r="K513" i="1"/>
  <c r="M513" i="1" s="1"/>
  <c r="K514" i="1"/>
  <c r="M514" i="1" s="1"/>
  <c r="K515" i="1"/>
  <c r="M515" i="1" s="1"/>
  <c r="K516" i="1"/>
  <c r="M516" i="1" s="1"/>
  <c r="K517" i="1"/>
  <c r="M517" i="1" s="1"/>
  <c r="K518" i="1"/>
  <c r="M518" i="1" s="1"/>
  <c r="K519" i="1"/>
  <c r="M519" i="1" s="1"/>
  <c r="K520" i="1"/>
  <c r="M520" i="1" s="1"/>
  <c r="K521" i="1"/>
  <c r="M521" i="1" s="1"/>
  <c r="K522" i="1"/>
  <c r="M522" i="1" s="1"/>
  <c r="K523" i="1"/>
  <c r="M523" i="1" s="1"/>
  <c r="K524" i="1"/>
  <c r="M524" i="1" s="1"/>
  <c r="K525" i="1"/>
  <c r="M525" i="1" s="1"/>
  <c r="K526" i="1"/>
  <c r="M526" i="1" s="1"/>
  <c r="K527" i="1"/>
  <c r="M527" i="1" s="1"/>
  <c r="K528" i="1"/>
  <c r="M528" i="1" s="1"/>
  <c r="K529" i="1"/>
  <c r="M529" i="1" s="1"/>
  <c r="K530" i="1"/>
  <c r="M530" i="1" s="1"/>
  <c r="K531" i="1"/>
  <c r="M531" i="1" s="1"/>
  <c r="K532" i="1"/>
  <c r="M532" i="1" s="1"/>
  <c r="K533" i="1"/>
  <c r="M533" i="1" s="1"/>
  <c r="K534" i="1"/>
  <c r="M534" i="1" s="1"/>
  <c r="K535" i="1"/>
  <c r="M535" i="1" s="1"/>
  <c r="K536" i="1"/>
  <c r="M536" i="1" s="1"/>
  <c r="K537" i="1"/>
  <c r="M537" i="1" s="1"/>
  <c r="K538" i="1"/>
  <c r="M538" i="1" s="1"/>
  <c r="K539" i="1"/>
  <c r="M539" i="1" s="1"/>
  <c r="K540" i="1"/>
  <c r="M540" i="1" s="1"/>
  <c r="K541" i="1"/>
  <c r="M541" i="1" s="1"/>
  <c r="K542" i="1"/>
  <c r="M542" i="1" s="1"/>
  <c r="K543" i="1"/>
  <c r="M543" i="1" s="1"/>
  <c r="K544" i="1"/>
  <c r="M544" i="1" s="1"/>
  <c r="K545" i="1"/>
  <c r="M545" i="1" s="1"/>
  <c r="K546" i="1"/>
  <c r="K547" i="1"/>
  <c r="M547" i="1" s="1"/>
  <c r="K548" i="1"/>
  <c r="M548" i="1" s="1"/>
  <c r="K549" i="1"/>
  <c r="M549" i="1" s="1"/>
  <c r="K550" i="1"/>
  <c r="M550" i="1" s="1"/>
  <c r="K551" i="1"/>
  <c r="M551" i="1" s="1"/>
  <c r="K552" i="1"/>
  <c r="K553" i="1"/>
  <c r="M553" i="1" s="1"/>
  <c r="K554" i="1"/>
  <c r="M554" i="1" s="1"/>
  <c r="K555" i="1"/>
  <c r="M555" i="1" s="1"/>
  <c r="K556" i="1"/>
  <c r="M556" i="1" s="1"/>
  <c r="K557" i="1"/>
  <c r="M557" i="1" s="1"/>
  <c r="K558" i="1"/>
  <c r="M558" i="1" s="1"/>
  <c r="K559" i="1"/>
  <c r="M559" i="1" s="1"/>
  <c r="K560" i="1"/>
  <c r="M560" i="1" s="1"/>
  <c r="K561" i="1"/>
  <c r="M561" i="1" s="1"/>
  <c r="K562" i="1"/>
  <c r="M562" i="1" s="1"/>
  <c r="K563" i="1"/>
  <c r="M563" i="1" s="1"/>
  <c r="K564" i="1"/>
  <c r="M564" i="1" s="1"/>
  <c r="K565" i="1"/>
  <c r="M565" i="1" s="1"/>
  <c r="K566" i="1"/>
  <c r="M566" i="1" s="1"/>
  <c r="K567" i="1"/>
  <c r="M567" i="1" s="1"/>
  <c r="K568" i="1"/>
  <c r="M568" i="1" s="1"/>
  <c r="K569" i="1"/>
  <c r="M569" i="1" s="1"/>
  <c r="K570" i="1"/>
  <c r="M570" i="1" s="1"/>
  <c r="K571" i="1"/>
  <c r="M571" i="1" s="1"/>
  <c r="K572" i="1"/>
  <c r="M572" i="1" s="1"/>
  <c r="K573" i="1"/>
  <c r="M573" i="1" s="1"/>
  <c r="K574" i="1"/>
  <c r="M574" i="1" s="1"/>
  <c r="K575" i="1"/>
  <c r="M575" i="1" s="1"/>
  <c r="K576" i="1"/>
  <c r="M576" i="1" s="1"/>
  <c r="K577" i="1"/>
  <c r="M577" i="1" s="1"/>
  <c r="K578" i="1"/>
  <c r="M578" i="1" s="1"/>
  <c r="K579" i="1"/>
  <c r="M579" i="1" s="1"/>
  <c r="K580" i="1"/>
  <c r="M580" i="1" s="1"/>
  <c r="K581" i="1"/>
  <c r="M581" i="1" s="1"/>
  <c r="K582" i="1"/>
  <c r="M582" i="1" s="1"/>
  <c r="K583" i="1"/>
  <c r="M583" i="1" s="1"/>
  <c r="K584" i="1"/>
  <c r="M584" i="1" s="1"/>
  <c r="K585" i="1"/>
  <c r="M585" i="1" s="1"/>
  <c r="K586" i="1"/>
  <c r="M586" i="1" s="1"/>
  <c r="K587" i="1"/>
  <c r="M587" i="1" s="1"/>
  <c r="K588" i="1"/>
  <c r="M588" i="1" s="1"/>
  <c r="K589" i="1"/>
  <c r="M589" i="1" s="1"/>
  <c r="K590" i="1"/>
  <c r="M590" i="1" s="1"/>
  <c r="K591" i="1"/>
  <c r="M591" i="1" s="1"/>
  <c r="K592" i="1"/>
  <c r="M592" i="1" s="1"/>
  <c r="K593" i="1"/>
  <c r="M593" i="1" s="1"/>
  <c r="K594" i="1"/>
  <c r="M594" i="1" s="1"/>
  <c r="K595" i="1"/>
  <c r="M595" i="1" s="1"/>
  <c r="K596" i="1"/>
  <c r="M596" i="1" s="1"/>
  <c r="K597" i="1"/>
  <c r="M597" i="1" s="1"/>
  <c r="K598" i="1"/>
  <c r="M598" i="1" s="1"/>
  <c r="K599" i="1"/>
  <c r="M599" i="1" s="1"/>
  <c r="K600" i="1"/>
  <c r="M600" i="1" s="1"/>
  <c r="K601" i="1"/>
  <c r="M601" i="1" s="1"/>
  <c r="K602" i="1"/>
  <c r="M602" i="1" s="1"/>
  <c r="K603" i="1"/>
  <c r="M603" i="1" s="1"/>
  <c r="K604" i="1"/>
  <c r="M604" i="1" s="1"/>
  <c r="K605" i="1"/>
  <c r="M605" i="1" s="1"/>
  <c r="K606" i="1"/>
  <c r="M606" i="1" s="1"/>
  <c r="K607" i="1"/>
  <c r="M607" i="1" s="1"/>
  <c r="K608" i="1"/>
  <c r="M608" i="1" s="1"/>
  <c r="K609" i="1"/>
  <c r="M609" i="1" s="1"/>
  <c r="K610" i="1"/>
  <c r="M610" i="1" s="1"/>
  <c r="K611" i="1"/>
  <c r="M611" i="1" s="1"/>
  <c r="K612" i="1"/>
  <c r="M612" i="1" s="1"/>
  <c r="K613" i="1"/>
  <c r="M613" i="1" s="1"/>
  <c r="K614" i="1"/>
  <c r="M614" i="1" s="1"/>
  <c r="K615" i="1"/>
  <c r="M615" i="1" s="1"/>
  <c r="K616" i="1"/>
  <c r="M616" i="1" s="1"/>
  <c r="K617" i="1"/>
  <c r="M617" i="1" s="1"/>
  <c r="K618" i="1"/>
  <c r="M618" i="1" s="1"/>
  <c r="K619" i="1"/>
  <c r="M619" i="1" s="1"/>
  <c r="K620" i="1"/>
  <c r="M620" i="1" s="1"/>
  <c r="K621" i="1"/>
  <c r="M621" i="1" s="1"/>
  <c r="K622" i="1"/>
  <c r="M622" i="1" s="1"/>
  <c r="K623" i="1"/>
  <c r="M623" i="1" s="1"/>
  <c r="K624" i="1"/>
  <c r="M624" i="1" s="1"/>
  <c r="K625" i="1"/>
  <c r="M625" i="1" s="1"/>
  <c r="K626" i="1"/>
  <c r="M626" i="1" s="1"/>
  <c r="K627" i="1"/>
  <c r="M627" i="1" s="1"/>
  <c r="K628" i="1"/>
  <c r="M628" i="1" s="1"/>
  <c r="K629" i="1"/>
  <c r="M629" i="1" s="1"/>
  <c r="K630" i="1"/>
  <c r="K631" i="1"/>
  <c r="M631" i="1" s="1"/>
  <c r="K632" i="1"/>
  <c r="M632" i="1" s="1"/>
  <c r="K633" i="1"/>
  <c r="M633" i="1" s="1"/>
  <c r="K634" i="1"/>
  <c r="M634" i="1" s="1"/>
  <c r="K635" i="1"/>
  <c r="M635" i="1" s="1"/>
  <c r="K636" i="1"/>
  <c r="M636" i="1" s="1"/>
  <c r="K637" i="1"/>
  <c r="M637" i="1" s="1"/>
  <c r="K638" i="1"/>
  <c r="M638" i="1" s="1"/>
  <c r="K639" i="1"/>
  <c r="M639" i="1" s="1"/>
  <c r="K640" i="1"/>
  <c r="M640" i="1" s="1"/>
  <c r="K641" i="1"/>
  <c r="M641" i="1" s="1"/>
  <c r="K642" i="1"/>
  <c r="M642" i="1" s="1"/>
  <c r="K643" i="1"/>
  <c r="M643" i="1" s="1"/>
  <c r="K644" i="1"/>
  <c r="M644" i="1" s="1"/>
  <c r="K645" i="1"/>
  <c r="M645" i="1" s="1"/>
  <c r="K646" i="1"/>
  <c r="M646" i="1" s="1"/>
  <c r="K647" i="1"/>
  <c r="M647" i="1" s="1"/>
  <c r="K648" i="1"/>
  <c r="M648" i="1" s="1"/>
  <c r="K649" i="1"/>
  <c r="M649" i="1" s="1"/>
  <c r="K650" i="1"/>
  <c r="M650" i="1" s="1"/>
  <c r="K651" i="1"/>
  <c r="M651" i="1" s="1"/>
  <c r="K652" i="1"/>
  <c r="M652" i="1" s="1"/>
  <c r="K653" i="1"/>
  <c r="M653" i="1" s="1"/>
  <c r="K654" i="1"/>
  <c r="M654" i="1" s="1"/>
  <c r="K655" i="1"/>
  <c r="M655" i="1" s="1"/>
  <c r="K656" i="1"/>
  <c r="M656" i="1" s="1"/>
  <c r="K657" i="1"/>
  <c r="M657" i="1" s="1"/>
  <c r="K658" i="1"/>
  <c r="M658" i="1" s="1"/>
  <c r="K659" i="1"/>
  <c r="M659" i="1" s="1"/>
  <c r="K660" i="1"/>
  <c r="M660" i="1" s="1"/>
  <c r="K661" i="1"/>
  <c r="M661" i="1" s="1"/>
  <c r="K662" i="1"/>
  <c r="M662" i="1" s="1"/>
  <c r="K663" i="1"/>
  <c r="M663" i="1" s="1"/>
  <c r="K664" i="1"/>
  <c r="M664" i="1" s="1"/>
  <c r="K665" i="1"/>
  <c r="M665" i="1" s="1"/>
  <c r="K666" i="1"/>
  <c r="M666" i="1" s="1"/>
  <c r="K667" i="1"/>
  <c r="M667" i="1" s="1"/>
  <c r="K668" i="1"/>
  <c r="M668" i="1" s="1"/>
  <c r="K669" i="1"/>
  <c r="M669" i="1" s="1"/>
  <c r="K670" i="1"/>
  <c r="M670" i="1" s="1"/>
  <c r="K671" i="1"/>
  <c r="M671" i="1" s="1"/>
  <c r="K672" i="1"/>
  <c r="M672" i="1" s="1"/>
  <c r="K673" i="1"/>
  <c r="M673" i="1" s="1"/>
  <c r="K674" i="1"/>
  <c r="M674" i="1" s="1"/>
  <c r="K675" i="1"/>
  <c r="M675" i="1" s="1"/>
  <c r="K676" i="1"/>
  <c r="M676" i="1" s="1"/>
  <c r="K677" i="1"/>
  <c r="M677" i="1" s="1"/>
  <c r="K678" i="1"/>
  <c r="M678" i="1" s="1"/>
  <c r="K679" i="1"/>
  <c r="M679" i="1" s="1"/>
  <c r="K680" i="1"/>
  <c r="M680" i="1" s="1"/>
  <c r="K681" i="1"/>
  <c r="M681" i="1" s="1"/>
  <c r="K682" i="1"/>
  <c r="M682" i="1" s="1"/>
  <c r="K683" i="1"/>
  <c r="M683" i="1" s="1"/>
  <c r="K684" i="1"/>
  <c r="M684" i="1" s="1"/>
  <c r="K685" i="1"/>
  <c r="M685" i="1" s="1"/>
  <c r="K686" i="1"/>
  <c r="M686" i="1" s="1"/>
  <c r="K687" i="1"/>
  <c r="M687" i="1" s="1"/>
  <c r="K688" i="1"/>
  <c r="M688" i="1" s="1"/>
  <c r="K689" i="1"/>
  <c r="M689" i="1" s="1"/>
  <c r="K690" i="1"/>
  <c r="M690" i="1" s="1"/>
  <c r="K691" i="1"/>
  <c r="M691" i="1" s="1"/>
  <c r="K692" i="1"/>
  <c r="M692" i="1" s="1"/>
  <c r="K693" i="1"/>
  <c r="M693" i="1" s="1"/>
  <c r="K694" i="1"/>
  <c r="M694" i="1" s="1"/>
  <c r="K695" i="1"/>
  <c r="M695" i="1" s="1"/>
  <c r="K696" i="1"/>
  <c r="M696" i="1" s="1"/>
  <c r="K697" i="1"/>
  <c r="M697" i="1" s="1"/>
  <c r="K698" i="1"/>
  <c r="M698" i="1" s="1"/>
  <c r="K699" i="1"/>
  <c r="M699" i="1" s="1"/>
  <c r="K700" i="1"/>
  <c r="M700" i="1" s="1"/>
  <c r="K701" i="1"/>
  <c r="M701" i="1" s="1"/>
  <c r="K702" i="1"/>
  <c r="M702" i="1" s="1"/>
  <c r="K703" i="1"/>
  <c r="M703" i="1" s="1"/>
  <c r="K704" i="1"/>
  <c r="M704" i="1" s="1"/>
  <c r="K705" i="1"/>
  <c r="M705" i="1" s="1"/>
  <c r="K706" i="1"/>
  <c r="M706" i="1" s="1"/>
  <c r="K707" i="1"/>
  <c r="M707" i="1" s="1"/>
  <c r="K708" i="1"/>
  <c r="M708" i="1" s="1"/>
  <c r="K709" i="1"/>
  <c r="M709" i="1" s="1"/>
  <c r="K710" i="1"/>
  <c r="M710" i="1" s="1"/>
  <c r="K711" i="1"/>
  <c r="M711" i="1" s="1"/>
  <c r="K712" i="1"/>
  <c r="M712" i="1" s="1"/>
  <c r="K713" i="1"/>
  <c r="M713" i="1" s="1"/>
  <c r="K714" i="1"/>
  <c r="M714" i="1" s="1"/>
  <c r="K715" i="1"/>
  <c r="M715" i="1" s="1"/>
  <c r="K716" i="1"/>
  <c r="M716" i="1" s="1"/>
  <c r="K717" i="1"/>
  <c r="M717" i="1" s="1"/>
  <c r="K718" i="1"/>
  <c r="M718" i="1" s="1"/>
  <c r="K719" i="1"/>
  <c r="M719" i="1" s="1"/>
  <c r="K720" i="1"/>
  <c r="M720" i="1" s="1"/>
  <c r="K721" i="1"/>
  <c r="M721" i="1" s="1"/>
  <c r="K722" i="1"/>
  <c r="M722" i="1" s="1"/>
  <c r="K723" i="1"/>
  <c r="M723" i="1" s="1"/>
  <c r="K724" i="1"/>
  <c r="M724" i="1" s="1"/>
  <c r="K725" i="1"/>
  <c r="M725" i="1" s="1"/>
  <c r="K726" i="1"/>
  <c r="M726" i="1" s="1"/>
  <c r="K727" i="1"/>
  <c r="M727" i="1" s="1"/>
  <c r="K728" i="1"/>
  <c r="M728" i="1" s="1"/>
  <c r="K729" i="1"/>
  <c r="M729" i="1" s="1"/>
  <c r="K730" i="1"/>
  <c r="M730" i="1" s="1"/>
  <c r="K731" i="1"/>
  <c r="M731" i="1" s="1"/>
  <c r="K732" i="1"/>
  <c r="M732" i="1" s="1"/>
  <c r="K733" i="1"/>
  <c r="M733" i="1" s="1"/>
  <c r="K734" i="1"/>
  <c r="M734" i="1" s="1"/>
  <c r="K735" i="1"/>
  <c r="M735" i="1" s="1"/>
  <c r="K736" i="1"/>
  <c r="M736" i="1" s="1"/>
  <c r="K737" i="1"/>
  <c r="M737" i="1" s="1"/>
  <c r="K738" i="1"/>
  <c r="M738" i="1" s="1"/>
  <c r="K739" i="1"/>
  <c r="M739" i="1" s="1"/>
  <c r="K740" i="1"/>
  <c r="M740" i="1" s="1"/>
  <c r="K741" i="1"/>
  <c r="K742" i="1"/>
  <c r="K743" i="1"/>
  <c r="K744" i="1"/>
  <c r="K745" i="1"/>
  <c r="K746" i="1"/>
  <c r="K747" i="1"/>
  <c r="K748" i="1"/>
  <c r="K749" i="1"/>
  <c r="K750" i="1"/>
  <c r="K751" i="1"/>
  <c r="K752" i="1"/>
  <c r="M752" i="1" s="1"/>
  <c r="K753" i="1"/>
  <c r="M753" i="1" s="1"/>
  <c r="K754" i="1"/>
  <c r="K755" i="1"/>
  <c r="M755" i="1" s="1"/>
  <c r="K756" i="1"/>
  <c r="M756" i="1" s="1"/>
  <c r="K757" i="1"/>
  <c r="M757" i="1" s="1"/>
  <c r="K758" i="1"/>
  <c r="K759" i="1"/>
  <c r="M759" i="1" s="1"/>
  <c r="K760" i="1"/>
  <c r="M760" i="1" s="1"/>
  <c r="K761" i="1"/>
  <c r="M761" i="1" s="1"/>
  <c r="K762" i="1"/>
  <c r="K763" i="1"/>
  <c r="M763" i="1" s="1"/>
  <c r="K764" i="1"/>
  <c r="M764" i="1" s="1"/>
  <c r="K765" i="1"/>
  <c r="M765" i="1" s="1"/>
  <c r="K766" i="1"/>
  <c r="M766" i="1" s="1"/>
  <c r="K767" i="1"/>
  <c r="M767" i="1" s="1"/>
  <c r="K768" i="1"/>
  <c r="M768" i="1" s="1"/>
  <c r="K769" i="1"/>
  <c r="M769" i="1" s="1"/>
  <c r="K770" i="1"/>
  <c r="M770" i="1" s="1"/>
  <c r="K771" i="1"/>
  <c r="M771" i="1" s="1"/>
  <c r="K772" i="1"/>
  <c r="M772" i="1" s="1"/>
  <c r="K773" i="1"/>
  <c r="M773" i="1" s="1"/>
  <c r="K774" i="1"/>
  <c r="M774" i="1" s="1"/>
  <c r="K775" i="1"/>
  <c r="M775" i="1" s="1"/>
  <c r="K776" i="1"/>
  <c r="M776" i="1" s="1"/>
  <c r="K777" i="1"/>
  <c r="M777" i="1" s="1"/>
  <c r="K778" i="1"/>
  <c r="M778" i="1" s="1"/>
  <c r="K779" i="1"/>
  <c r="M779" i="1" s="1"/>
  <c r="K780" i="1"/>
  <c r="M780" i="1" s="1"/>
  <c r="K781" i="1"/>
  <c r="M781" i="1" s="1"/>
  <c r="K782" i="1"/>
  <c r="M782" i="1" s="1"/>
  <c r="K783" i="1"/>
  <c r="M783" i="1" s="1"/>
  <c r="K784" i="1"/>
  <c r="M784" i="1" s="1"/>
  <c r="K785" i="1"/>
  <c r="M785" i="1" s="1"/>
  <c r="K786" i="1"/>
  <c r="M786" i="1" s="1"/>
  <c r="K787" i="1"/>
  <c r="M787" i="1" s="1"/>
  <c r="K788" i="1"/>
  <c r="M788" i="1" s="1"/>
  <c r="K789" i="1"/>
  <c r="M789" i="1" s="1"/>
  <c r="K790" i="1"/>
  <c r="M790" i="1" s="1"/>
  <c r="K791" i="1"/>
  <c r="M791" i="1" s="1"/>
  <c r="K792" i="1"/>
  <c r="M792" i="1" s="1"/>
  <c r="K793" i="1"/>
  <c r="M793" i="1" s="1"/>
  <c r="K794" i="1"/>
  <c r="M794" i="1" s="1"/>
  <c r="K795" i="1"/>
  <c r="M795" i="1" s="1"/>
  <c r="K796" i="1"/>
  <c r="M796" i="1" s="1"/>
  <c r="K797" i="1"/>
  <c r="M797" i="1" s="1"/>
  <c r="K798" i="1"/>
  <c r="K799" i="1"/>
  <c r="M799" i="1" s="1"/>
  <c r="K800" i="1"/>
  <c r="M800" i="1" s="1"/>
  <c r="K801" i="1"/>
  <c r="M801" i="1" s="1"/>
  <c r="K802" i="1"/>
  <c r="M802" i="1" s="1"/>
  <c r="K803" i="1"/>
  <c r="M803" i="1" s="1"/>
  <c r="K804" i="1"/>
  <c r="M804" i="1" s="1"/>
  <c r="K805" i="1"/>
  <c r="M805" i="1" s="1"/>
  <c r="K806" i="1"/>
  <c r="M806" i="1" s="1"/>
  <c r="K807" i="1"/>
  <c r="M807" i="1" s="1"/>
  <c r="K808" i="1"/>
  <c r="M808" i="1" s="1"/>
  <c r="K809" i="1"/>
  <c r="M809" i="1" s="1"/>
  <c r="K810" i="1"/>
  <c r="M810" i="1" s="1"/>
  <c r="K811" i="1"/>
  <c r="M811" i="1" s="1"/>
  <c r="K812" i="1"/>
  <c r="M812" i="1" s="1"/>
  <c r="K813" i="1"/>
  <c r="M813" i="1" s="1"/>
  <c r="K814" i="1"/>
  <c r="M814" i="1" s="1"/>
  <c r="K815" i="1"/>
  <c r="M815" i="1" s="1"/>
  <c r="K816" i="1"/>
  <c r="M816" i="1" s="1"/>
  <c r="K817" i="1"/>
  <c r="M817" i="1" s="1"/>
  <c r="K818" i="1"/>
  <c r="M818" i="1" s="1"/>
  <c r="K819" i="1"/>
  <c r="M819" i="1" s="1"/>
  <c r="K820" i="1"/>
  <c r="M820" i="1" s="1"/>
  <c r="K821" i="1"/>
  <c r="M821" i="1" s="1"/>
  <c r="K822" i="1"/>
  <c r="M822" i="1" s="1"/>
  <c r="K823" i="1"/>
  <c r="M823" i="1" s="1"/>
  <c r="K824" i="1"/>
  <c r="M824" i="1" s="1"/>
  <c r="K825" i="1"/>
  <c r="M825" i="1" s="1"/>
  <c r="K826" i="1"/>
  <c r="M826" i="1" s="1"/>
  <c r="K827" i="1"/>
  <c r="M827" i="1" s="1"/>
  <c r="K828" i="1"/>
  <c r="M828" i="1" s="1"/>
  <c r="K829" i="1"/>
  <c r="M829" i="1" s="1"/>
  <c r="K830" i="1"/>
  <c r="M830" i="1" s="1"/>
  <c r="K831" i="1"/>
  <c r="M831" i="1" s="1"/>
  <c r="K832" i="1"/>
  <c r="M832" i="1" s="1"/>
  <c r="K833" i="1"/>
  <c r="M833" i="1" s="1"/>
  <c r="K834" i="1"/>
  <c r="M834" i="1" s="1"/>
  <c r="K835" i="1"/>
  <c r="M835" i="1" s="1"/>
  <c r="K836" i="1"/>
  <c r="M836" i="1" s="1"/>
  <c r="K837" i="1"/>
  <c r="M837" i="1" s="1"/>
  <c r="K838" i="1"/>
  <c r="M838" i="1" s="1"/>
  <c r="K839" i="1"/>
  <c r="M839" i="1" s="1"/>
  <c r="K840" i="1"/>
  <c r="M840" i="1" s="1"/>
  <c r="K841" i="1"/>
  <c r="M841" i="1" s="1"/>
  <c r="K842" i="1"/>
  <c r="M842" i="1" s="1"/>
  <c r="K843" i="1"/>
  <c r="M843" i="1" s="1"/>
  <c r="K844" i="1"/>
  <c r="K845" i="1"/>
  <c r="K846" i="1"/>
  <c r="K847" i="1"/>
  <c r="M847" i="1" s="1"/>
  <c r="K848" i="1"/>
  <c r="M848" i="1" s="1"/>
  <c r="K849" i="1"/>
  <c r="M849" i="1" s="1"/>
  <c r="K850" i="1"/>
  <c r="M850" i="1" s="1"/>
  <c r="K851" i="1"/>
  <c r="M851" i="1" s="1"/>
  <c r="K852" i="1"/>
  <c r="M852" i="1" s="1"/>
  <c r="K853" i="1"/>
  <c r="K854" i="1"/>
  <c r="M854" i="1" s="1"/>
  <c r="K855" i="1"/>
  <c r="M855" i="1" s="1"/>
  <c r="K856" i="1"/>
  <c r="M856" i="1" s="1"/>
  <c r="K857" i="1"/>
  <c r="M857" i="1" s="1"/>
  <c r="K858" i="1"/>
  <c r="M858" i="1" s="1"/>
  <c r="K859" i="1"/>
  <c r="M859" i="1" s="1"/>
  <c r="K860" i="1"/>
  <c r="M860" i="1" s="1"/>
  <c r="K861" i="1"/>
  <c r="M861" i="1" s="1"/>
  <c r="K862" i="1"/>
  <c r="M862" i="1" s="1"/>
  <c r="K863" i="1"/>
  <c r="M863" i="1" s="1"/>
  <c r="K864" i="1"/>
  <c r="M864" i="1" s="1"/>
  <c r="K865" i="1"/>
  <c r="K866" i="1"/>
  <c r="M866" i="1" s="1"/>
  <c r="K867" i="1"/>
  <c r="M867" i="1" s="1"/>
  <c r="K868" i="1"/>
  <c r="M868" i="1" s="1"/>
  <c r="K869" i="1"/>
  <c r="K870" i="1"/>
  <c r="M870" i="1" s="1"/>
  <c r="K871" i="1"/>
  <c r="M871" i="1" s="1"/>
  <c r="K872" i="1"/>
  <c r="M872" i="1" s="1"/>
  <c r="K873" i="1"/>
  <c r="K874" i="1"/>
  <c r="M874" i="1" s="1"/>
  <c r="K875" i="1"/>
  <c r="M875" i="1" s="1"/>
  <c r="K876" i="1"/>
  <c r="M876" i="1" s="1"/>
  <c r="K877" i="1"/>
  <c r="M877" i="1" s="1"/>
  <c r="K878" i="1"/>
  <c r="M878" i="1" s="1"/>
  <c r="K879" i="1"/>
  <c r="M879" i="1" s="1"/>
  <c r="K880" i="1"/>
  <c r="M880" i="1" s="1"/>
  <c r="K881" i="1"/>
  <c r="K882" i="1"/>
  <c r="M882" i="1" s="1"/>
  <c r="K883" i="1"/>
  <c r="M883" i="1" s="1"/>
  <c r="K884" i="1"/>
  <c r="M884" i="1" s="1"/>
  <c r="K885" i="1"/>
  <c r="M885" i="1" s="1"/>
  <c r="K886" i="1"/>
  <c r="M886" i="1" s="1"/>
  <c r="K887" i="1"/>
  <c r="M887" i="1" s="1"/>
  <c r="K888" i="1"/>
  <c r="M888" i="1" s="1"/>
  <c r="K889" i="1"/>
  <c r="M889" i="1" s="1"/>
  <c r="K890" i="1"/>
  <c r="M890" i="1" s="1"/>
  <c r="K891" i="1"/>
  <c r="M891" i="1" s="1"/>
  <c r="K892" i="1"/>
  <c r="K893" i="1"/>
  <c r="M893" i="1" s="1"/>
  <c r="K894" i="1"/>
  <c r="M894" i="1" s="1"/>
  <c r="K895" i="1"/>
  <c r="M895" i="1" s="1"/>
  <c r="K896" i="1"/>
  <c r="M896" i="1" s="1"/>
  <c r="K897" i="1"/>
  <c r="M897" i="1" s="1"/>
  <c r="K898" i="1"/>
  <c r="M898" i="1" s="1"/>
  <c r="K899" i="1"/>
  <c r="M899" i="1" s="1"/>
  <c r="K900" i="1"/>
  <c r="M900" i="1" s="1"/>
  <c r="K901" i="1"/>
  <c r="M901" i="1" s="1"/>
  <c r="K902" i="1"/>
  <c r="M902" i="1" s="1"/>
  <c r="K903" i="1"/>
  <c r="M903" i="1" s="1"/>
  <c r="K904" i="1"/>
  <c r="K905" i="1"/>
  <c r="M905" i="1" s="1"/>
  <c r="K906" i="1"/>
  <c r="M906" i="1" s="1"/>
  <c r="K907" i="1"/>
  <c r="M907" i="1" s="1"/>
  <c r="K908" i="1"/>
  <c r="K909" i="1"/>
  <c r="M909" i="1" s="1"/>
  <c r="K910" i="1"/>
  <c r="M910" i="1" s="1"/>
  <c r="K911" i="1"/>
  <c r="M911" i="1" s="1"/>
  <c r="K912" i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K927" i="1"/>
  <c r="M927" i="1" s="1"/>
  <c r="K928" i="1"/>
  <c r="M928" i="1" s="1"/>
  <c r="K929" i="1"/>
  <c r="M929" i="1" s="1"/>
  <c r="K930" i="1"/>
  <c r="M930" i="1" s="1"/>
  <c r="K931" i="1"/>
  <c r="M931" i="1" s="1"/>
  <c r="K932" i="1"/>
  <c r="M932" i="1" s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M953" i="1" s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M970" i="1" s="1"/>
  <c r="K971" i="1"/>
  <c r="M971" i="1" s="1"/>
  <c r="K972" i="1"/>
  <c r="M972" i="1" s="1"/>
  <c r="K973" i="1"/>
  <c r="M973" i="1" s="1"/>
  <c r="K974" i="1"/>
  <c r="K975" i="1"/>
  <c r="K976" i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M986" i="1" s="1"/>
  <c r="K987" i="1"/>
  <c r="M987" i="1" s="1"/>
  <c r="K988" i="1"/>
  <c r="M988" i="1" s="1"/>
  <c r="K989" i="1"/>
  <c r="M989" i="1" s="1"/>
  <c r="K990" i="1"/>
  <c r="M990" i="1" s="1"/>
  <c r="K991" i="1"/>
  <c r="M991" i="1" s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2" i="1"/>
  <c r="M2" i="1" s="1"/>
  <c r="J222" i="1"/>
  <c r="L222" i="1" s="1"/>
  <c r="J223" i="1"/>
  <c r="L223" i="1" s="1"/>
  <c r="J224" i="1"/>
  <c r="L224" i="1" s="1"/>
  <c r="J225" i="1"/>
  <c r="J226" i="1"/>
  <c r="L226" i="1" s="1"/>
  <c r="J227" i="1"/>
  <c r="L227" i="1" s="1"/>
  <c r="J228" i="1"/>
  <c r="L228" i="1" s="1"/>
  <c r="J229" i="1"/>
  <c r="J230" i="1"/>
  <c r="L230" i="1" s="1"/>
  <c r="J231" i="1"/>
  <c r="L231" i="1" s="1"/>
  <c r="J232" i="1"/>
  <c r="L232" i="1" s="1"/>
  <c r="J233" i="1"/>
  <c r="J234" i="1"/>
  <c r="L234" i="1" s="1"/>
  <c r="J235" i="1"/>
  <c r="L235" i="1" s="1"/>
  <c r="J236" i="1"/>
  <c r="L236" i="1" s="1"/>
  <c r="J237" i="1"/>
  <c r="J238" i="1"/>
  <c r="L238" i="1" s="1"/>
  <c r="J239" i="1"/>
  <c r="L239" i="1" s="1"/>
  <c r="J240" i="1"/>
  <c r="L240" i="1" s="1"/>
  <c r="J241" i="1"/>
  <c r="J242" i="1"/>
  <c r="L242" i="1" s="1"/>
  <c r="J243" i="1"/>
  <c r="L243" i="1" s="1"/>
  <c r="J244" i="1"/>
  <c r="L244" i="1" s="1"/>
  <c r="J245" i="1"/>
  <c r="J246" i="1"/>
  <c r="L246" i="1" s="1"/>
  <c r="J247" i="1"/>
  <c r="L247" i="1" s="1"/>
  <c r="J248" i="1"/>
  <c r="L248" i="1" s="1"/>
  <c r="J249" i="1"/>
  <c r="J250" i="1"/>
  <c r="L250" i="1" s="1"/>
  <c r="J251" i="1"/>
  <c r="L251" i="1" s="1"/>
  <c r="J252" i="1"/>
  <c r="L252" i="1" s="1"/>
  <c r="J253" i="1"/>
  <c r="J254" i="1"/>
  <c r="L254" i="1" s="1"/>
  <c r="J255" i="1"/>
  <c r="L255" i="1" s="1"/>
  <c r="J256" i="1"/>
  <c r="L256" i="1" s="1"/>
  <c r="J257" i="1"/>
  <c r="J258" i="1"/>
  <c r="L258" i="1" s="1"/>
  <c r="J259" i="1"/>
  <c r="L259" i="1" s="1"/>
  <c r="J260" i="1"/>
  <c r="L260" i="1" s="1"/>
  <c r="J261" i="1"/>
  <c r="J262" i="1"/>
  <c r="L262" i="1" s="1"/>
  <c r="J263" i="1"/>
  <c r="L263" i="1" s="1"/>
  <c r="J264" i="1"/>
  <c r="L264" i="1" s="1"/>
  <c r="J265" i="1"/>
  <c r="J266" i="1"/>
  <c r="L266" i="1" s="1"/>
  <c r="J267" i="1"/>
  <c r="L267" i="1" s="1"/>
  <c r="J268" i="1"/>
  <c r="L268" i="1" s="1"/>
  <c r="J269" i="1"/>
  <c r="J270" i="1"/>
  <c r="L270" i="1" s="1"/>
  <c r="J271" i="1"/>
  <c r="L271" i="1" s="1"/>
  <c r="J272" i="1"/>
  <c r="L272" i="1" s="1"/>
  <c r="J273" i="1"/>
  <c r="J274" i="1"/>
  <c r="L274" i="1" s="1"/>
  <c r="L275" i="1"/>
  <c r="J276" i="1"/>
  <c r="L276" i="1" s="1"/>
  <c r="J277" i="1"/>
  <c r="J278" i="1"/>
  <c r="L278" i="1" s="1"/>
  <c r="J279" i="1"/>
  <c r="L279" i="1" s="1"/>
  <c r="J280" i="1"/>
  <c r="L280" i="1" s="1"/>
  <c r="J281" i="1"/>
  <c r="J282" i="1"/>
  <c r="L282" i="1" s="1"/>
  <c r="J283" i="1"/>
  <c r="L283" i="1" s="1"/>
  <c r="J284" i="1"/>
  <c r="L284" i="1" s="1"/>
  <c r="J285" i="1"/>
  <c r="J286" i="1"/>
  <c r="L286" i="1" s="1"/>
  <c r="J287" i="1"/>
  <c r="L287" i="1" s="1"/>
  <c r="J288" i="1"/>
  <c r="L288" i="1" s="1"/>
  <c r="J289" i="1"/>
  <c r="J290" i="1"/>
  <c r="L290" i="1" s="1"/>
  <c r="J291" i="1"/>
  <c r="L291" i="1" s="1"/>
  <c r="J292" i="1"/>
  <c r="L292" i="1" s="1"/>
  <c r="J293" i="1"/>
  <c r="J294" i="1"/>
  <c r="L294" i="1" s="1"/>
  <c r="J295" i="1"/>
  <c r="L295" i="1" s="1"/>
  <c r="J296" i="1"/>
  <c r="L296" i="1" s="1"/>
  <c r="J297" i="1"/>
  <c r="J298" i="1"/>
  <c r="L298" i="1" s="1"/>
  <c r="J299" i="1"/>
  <c r="L299" i="1" s="1"/>
  <c r="J300" i="1"/>
  <c r="L300" i="1" s="1"/>
  <c r="J301" i="1"/>
  <c r="J302" i="1"/>
  <c r="L302" i="1" s="1"/>
  <c r="J303" i="1"/>
  <c r="L303" i="1" s="1"/>
  <c r="J304" i="1"/>
  <c r="L304" i="1" s="1"/>
  <c r="J305" i="1"/>
  <c r="J306" i="1"/>
  <c r="L306" i="1" s="1"/>
  <c r="J307" i="1"/>
  <c r="L307" i="1" s="1"/>
  <c r="J308" i="1"/>
  <c r="L308" i="1" s="1"/>
  <c r="J309" i="1"/>
  <c r="J310" i="1"/>
  <c r="L310" i="1" s="1"/>
  <c r="J311" i="1"/>
  <c r="L311" i="1" s="1"/>
  <c r="J312" i="1"/>
  <c r="L312" i="1" s="1"/>
  <c r="J313" i="1"/>
  <c r="J314" i="1"/>
  <c r="L314" i="1" s="1"/>
  <c r="J315" i="1"/>
  <c r="L315" i="1" s="1"/>
  <c r="J316" i="1"/>
  <c r="L316" i="1" s="1"/>
  <c r="J317" i="1"/>
  <c r="J318" i="1"/>
  <c r="L318" i="1" s="1"/>
  <c r="J319" i="1"/>
  <c r="L319" i="1" s="1"/>
  <c r="J320" i="1"/>
  <c r="L320" i="1" s="1"/>
  <c r="J321" i="1"/>
  <c r="J322" i="1"/>
  <c r="L322" i="1" s="1"/>
  <c r="J323" i="1"/>
  <c r="L323" i="1" s="1"/>
  <c r="J324" i="1"/>
  <c r="L324" i="1" s="1"/>
  <c r="J325" i="1"/>
  <c r="J326" i="1"/>
  <c r="L326" i="1" s="1"/>
  <c r="J327" i="1"/>
  <c r="L327" i="1" s="1"/>
  <c r="J328" i="1"/>
  <c r="L328" i="1" s="1"/>
  <c r="J329" i="1"/>
  <c r="J330" i="1"/>
  <c r="L330" i="1" s="1"/>
  <c r="J331" i="1"/>
  <c r="L331" i="1" s="1"/>
  <c r="J332" i="1"/>
  <c r="L332" i="1" s="1"/>
  <c r="J333" i="1"/>
  <c r="J334" i="1"/>
  <c r="L334" i="1" s="1"/>
  <c r="J335" i="1"/>
  <c r="L335" i="1" s="1"/>
  <c r="J336" i="1"/>
  <c r="L336" i="1" s="1"/>
  <c r="J337" i="1"/>
  <c r="J338" i="1"/>
  <c r="L338" i="1" s="1"/>
  <c r="J339" i="1"/>
  <c r="L339" i="1" s="1"/>
  <c r="J340" i="1"/>
  <c r="L340" i="1" s="1"/>
  <c r="J341" i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J446" i="1"/>
  <c r="L446" i="1" s="1"/>
  <c r="J447" i="1"/>
  <c r="L447" i="1" s="1"/>
  <c r="J448" i="1"/>
  <c r="L448" i="1" s="1"/>
  <c r="J449" i="1"/>
  <c r="L449" i="1" s="1"/>
  <c r="J450" i="1"/>
  <c r="L450" i="1" s="1"/>
  <c r="J451" i="1"/>
  <c r="L451" i="1" s="1"/>
  <c r="J452" i="1"/>
  <c r="L452" i="1" s="1"/>
  <c r="J453" i="1"/>
  <c r="J454" i="1"/>
  <c r="L454" i="1" s="1"/>
  <c r="J455" i="1"/>
  <c r="L455" i="1" s="1"/>
  <c r="J456" i="1"/>
  <c r="L456" i="1" s="1"/>
  <c r="J457" i="1"/>
  <c r="L457" i="1" s="1"/>
  <c r="J458" i="1"/>
  <c r="L458" i="1" s="1"/>
  <c r="J459" i="1"/>
  <c r="L459" i="1" s="1"/>
  <c r="J460" i="1"/>
  <c r="L460" i="1" s="1"/>
  <c r="J461" i="1"/>
  <c r="J462" i="1"/>
  <c r="L462" i="1" s="1"/>
  <c r="J463" i="1"/>
  <c r="L463" i="1" s="1"/>
  <c r="J464" i="1"/>
  <c r="L464" i="1" s="1"/>
  <c r="J465" i="1"/>
  <c r="L465" i="1" s="1"/>
  <c r="J466" i="1"/>
  <c r="L466" i="1" s="1"/>
  <c r="J467" i="1"/>
  <c r="L467" i="1" s="1"/>
  <c r="J468" i="1"/>
  <c r="L468" i="1" s="1"/>
  <c r="J469" i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77" i="1"/>
  <c r="J478" i="1"/>
  <c r="L478" i="1" s="1"/>
  <c r="J479" i="1"/>
  <c r="L479" i="1" s="1"/>
  <c r="J480" i="1"/>
  <c r="L480" i="1" s="1"/>
  <c r="J481" i="1"/>
  <c r="L481" i="1" s="1"/>
  <c r="J482" i="1"/>
  <c r="L482" i="1" s="1"/>
  <c r="J483" i="1"/>
  <c r="L483" i="1" s="1"/>
  <c r="J484" i="1"/>
  <c r="L484" i="1" s="1"/>
  <c r="J485" i="1"/>
  <c r="J486" i="1"/>
  <c r="L486" i="1" s="1"/>
  <c r="J487" i="1"/>
  <c r="L487" i="1" s="1"/>
  <c r="J488" i="1"/>
  <c r="L488" i="1" s="1"/>
  <c r="J489" i="1"/>
  <c r="L489" i="1" s="1"/>
  <c r="J490" i="1"/>
  <c r="L490" i="1" s="1"/>
  <c r="J491" i="1"/>
  <c r="L491" i="1" s="1"/>
  <c r="J492" i="1"/>
  <c r="L492" i="1" s="1"/>
  <c r="J493" i="1"/>
  <c r="J494" i="1"/>
  <c r="L494" i="1" s="1"/>
  <c r="J495" i="1"/>
  <c r="L495" i="1" s="1"/>
  <c r="J496" i="1"/>
  <c r="L496" i="1" s="1"/>
  <c r="J497" i="1"/>
  <c r="L497" i="1" s="1"/>
  <c r="J498" i="1"/>
  <c r="L498" i="1" s="1"/>
  <c r="J499" i="1"/>
  <c r="L499" i="1" s="1"/>
  <c r="J500" i="1"/>
  <c r="L500" i="1" s="1"/>
  <c r="J501" i="1"/>
  <c r="J502" i="1"/>
  <c r="L502" i="1" s="1"/>
  <c r="J503" i="1"/>
  <c r="L503" i="1" s="1"/>
  <c r="J504" i="1"/>
  <c r="L504" i="1" s="1"/>
  <c r="J505" i="1"/>
  <c r="L505" i="1" s="1"/>
  <c r="J506" i="1"/>
  <c r="L506" i="1" s="1"/>
  <c r="J507" i="1"/>
  <c r="L507" i="1" s="1"/>
  <c r="J508" i="1"/>
  <c r="L508" i="1" s="1"/>
  <c r="J509" i="1"/>
  <c r="J510" i="1"/>
  <c r="L510" i="1" s="1"/>
  <c r="J511" i="1"/>
  <c r="L511" i="1" s="1"/>
  <c r="J512" i="1"/>
  <c r="L512" i="1" s="1"/>
  <c r="J513" i="1"/>
  <c r="L513" i="1" s="1"/>
  <c r="J514" i="1"/>
  <c r="L514" i="1" s="1"/>
  <c r="J515" i="1"/>
  <c r="L515" i="1" s="1"/>
  <c r="J516" i="1"/>
  <c r="L516" i="1" s="1"/>
  <c r="J517" i="1"/>
  <c r="J518" i="1"/>
  <c r="L518" i="1" s="1"/>
  <c r="J519" i="1"/>
  <c r="L519" i="1" s="1"/>
  <c r="J520" i="1"/>
  <c r="L520" i="1" s="1"/>
  <c r="J521" i="1"/>
  <c r="L521" i="1" s="1"/>
  <c r="J522" i="1"/>
  <c r="L522" i="1" s="1"/>
  <c r="J523" i="1"/>
  <c r="L523" i="1" s="1"/>
  <c r="J524" i="1"/>
  <c r="L524" i="1" s="1"/>
  <c r="J525" i="1"/>
  <c r="J526" i="1"/>
  <c r="L526" i="1" s="1"/>
  <c r="J527" i="1"/>
  <c r="L527" i="1" s="1"/>
  <c r="J528" i="1"/>
  <c r="L528" i="1" s="1"/>
  <c r="J529" i="1"/>
  <c r="L529" i="1" s="1"/>
  <c r="J530" i="1"/>
  <c r="L530" i="1" s="1"/>
  <c r="J531" i="1"/>
  <c r="L531" i="1" s="1"/>
  <c r="J532" i="1"/>
  <c r="L532" i="1" s="1"/>
  <c r="J533" i="1"/>
  <c r="J534" i="1"/>
  <c r="L534" i="1" s="1"/>
  <c r="J535" i="1"/>
  <c r="L535" i="1" s="1"/>
  <c r="J536" i="1"/>
  <c r="L536" i="1" s="1"/>
  <c r="J537" i="1"/>
  <c r="L537" i="1" s="1"/>
  <c r="J538" i="1"/>
  <c r="L538" i="1" s="1"/>
  <c r="J539" i="1"/>
  <c r="L539" i="1" s="1"/>
  <c r="J540" i="1"/>
  <c r="L540" i="1" s="1"/>
  <c r="J541" i="1"/>
  <c r="J542" i="1"/>
  <c r="L542" i="1" s="1"/>
  <c r="J543" i="1"/>
  <c r="L543" i="1" s="1"/>
  <c r="J544" i="1"/>
  <c r="L544" i="1" s="1"/>
  <c r="J545" i="1"/>
  <c r="L545" i="1" s="1"/>
  <c r="J546" i="1"/>
  <c r="L546" i="1" s="1"/>
  <c r="J547" i="1"/>
  <c r="L547" i="1" s="1"/>
  <c r="J548" i="1"/>
  <c r="L548" i="1" s="1"/>
  <c r="J549" i="1"/>
  <c r="J550" i="1"/>
  <c r="L550" i="1" s="1"/>
  <c r="J551" i="1"/>
  <c r="L551" i="1" s="1"/>
  <c r="J552" i="1"/>
  <c r="L552" i="1" s="1"/>
  <c r="J553" i="1"/>
  <c r="L553" i="1" s="1"/>
  <c r="J554" i="1"/>
  <c r="L554" i="1" s="1"/>
  <c r="J555" i="1"/>
  <c r="L555" i="1" s="1"/>
  <c r="J556" i="1"/>
  <c r="L556" i="1" s="1"/>
  <c r="J557" i="1"/>
  <c r="J558" i="1"/>
  <c r="L558" i="1" s="1"/>
  <c r="J559" i="1"/>
  <c r="L559" i="1" s="1"/>
  <c r="J560" i="1"/>
  <c r="L560" i="1" s="1"/>
  <c r="J561" i="1"/>
  <c r="L561" i="1" s="1"/>
  <c r="J562" i="1"/>
  <c r="L562" i="1" s="1"/>
  <c r="J563" i="1"/>
  <c r="L563" i="1" s="1"/>
  <c r="J564" i="1"/>
  <c r="L564" i="1" s="1"/>
  <c r="J565" i="1"/>
  <c r="J566" i="1"/>
  <c r="L566" i="1" s="1"/>
  <c r="J567" i="1"/>
  <c r="L567" i="1" s="1"/>
  <c r="J568" i="1"/>
  <c r="L568" i="1" s="1"/>
  <c r="J569" i="1"/>
  <c r="L569" i="1" s="1"/>
  <c r="J570" i="1"/>
  <c r="L570" i="1" s="1"/>
  <c r="J571" i="1"/>
  <c r="L571" i="1" s="1"/>
  <c r="J572" i="1"/>
  <c r="L572" i="1" s="1"/>
  <c r="J573" i="1"/>
  <c r="J574" i="1"/>
  <c r="L574" i="1" s="1"/>
  <c r="J575" i="1"/>
  <c r="L575" i="1" s="1"/>
  <c r="J576" i="1"/>
  <c r="L576" i="1" s="1"/>
  <c r="J577" i="1"/>
  <c r="L577" i="1" s="1"/>
  <c r="J578" i="1"/>
  <c r="L578" i="1" s="1"/>
  <c r="J579" i="1"/>
  <c r="L579" i="1" s="1"/>
  <c r="J580" i="1"/>
  <c r="L580" i="1" s="1"/>
  <c r="J581" i="1"/>
  <c r="J582" i="1"/>
  <c r="L582" i="1" s="1"/>
  <c r="J583" i="1"/>
  <c r="L583" i="1" s="1"/>
  <c r="J584" i="1"/>
  <c r="L584" i="1" s="1"/>
  <c r="J585" i="1"/>
  <c r="L585" i="1" s="1"/>
  <c r="J586" i="1"/>
  <c r="L586" i="1" s="1"/>
  <c r="J587" i="1"/>
  <c r="L587" i="1" s="1"/>
  <c r="J588" i="1"/>
  <c r="L588" i="1" s="1"/>
  <c r="J589" i="1"/>
  <c r="J590" i="1"/>
  <c r="L590" i="1" s="1"/>
  <c r="J591" i="1"/>
  <c r="L591" i="1" s="1"/>
  <c r="J592" i="1"/>
  <c r="L592" i="1" s="1"/>
  <c r="J593" i="1"/>
  <c r="L593" i="1" s="1"/>
  <c r="J594" i="1"/>
  <c r="L594" i="1" s="1"/>
  <c r="J595" i="1"/>
  <c r="L595" i="1" s="1"/>
  <c r="J596" i="1"/>
  <c r="L596" i="1" s="1"/>
  <c r="J597" i="1"/>
  <c r="J598" i="1"/>
  <c r="L598" i="1" s="1"/>
  <c r="J599" i="1"/>
  <c r="L599" i="1" s="1"/>
  <c r="J600" i="1"/>
  <c r="L600" i="1" s="1"/>
  <c r="J601" i="1"/>
  <c r="L601" i="1" s="1"/>
  <c r="J602" i="1"/>
  <c r="L602" i="1" s="1"/>
  <c r="J603" i="1"/>
  <c r="L603" i="1" s="1"/>
  <c r="J604" i="1"/>
  <c r="L604" i="1" s="1"/>
  <c r="J605" i="1"/>
  <c r="J606" i="1"/>
  <c r="L606" i="1" s="1"/>
  <c r="J607" i="1"/>
  <c r="L607" i="1" s="1"/>
  <c r="J608" i="1"/>
  <c r="L608" i="1" s="1"/>
  <c r="J609" i="1"/>
  <c r="L609" i="1" s="1"/>
  <c r="J610" i="1"/>
  <c r="L610" i="1" s="1"/>
  <c r="J611" i="1"/>
  <c r="L611" i="1" s="1"/>
  <c r="J612" i="1"/>
  <c r="L612" i="1" s="1"/>
  <c r="J613" i="1"/>
  <c r="J614" i="1"/>
  <c r="L614" i="1" s="1"/>
  <c r="J615" i="1"/>
  <c r="L615" i="1" s="1"/>
  <c r="J616" i="1"/>
  <c r="L616" i="1" s="1"/>
  <c r="J617" i="1"/>
  <c r="L617" i="1" s="1"/>
  <c r="J618" i="1"/>
  <c r="L618" i="1" s="1"/>
  <c r="J619" i="1"/>
  <c r="L619" i="1" s="1"/>
  <c r="J620" i="1"/>
  <c r="L620" i="1" s="1"/>
  <c r="J621" i="1"/>
  <c r="J622" i="1"/>
  <c r="L622" i="1" s="1"/>
  <c r="J623" i="1"/>
  <c r="L623" i="1" s="1"/>
  <c r="J624" i="1"/>
  <c r="L624" i="1" s="1"/>
  <c r="J625" i="1"/>
  <c r="L625" i="1" s="1"/>
  <c r="J626" i="1"/>
  <c r="L626" i="1" s="1"/>
  <c r="J627" i="1"/>
  <c r="L627" i="1" s="1"/>
  <c r="J628" i="1"/>
  <c r="L628" i="1" s="1"/>
  <c r="J629" i="1"/>
  <c r="J630" i="1"/>
  <c r="L630" i="1" s="1"/>
  <c r="J631" i="1"/>
  <c r="L631" i="1" s="1"/>
  <c r="J632" i="1"/>
  <c r="L632" i="1" s="1"/>
  <c r="J633" i="1"/>
  <c r="L633" i="1" s="1"/>
  <c r="J634" i="1"/>
  <c r="L634" i="1" s="1"/>
  <c r="J635" i="1"/>
  <c r="L635" i="1" s="1"/>
  <c r="J636" i="1"/>
  <c r="L636" i="1" s="1"/>
  <c r="J637" i="1"/>
  <c r="J638" i="1"/>
  <c r="L638" i="1" s="1"/>
  <c r="J639" i="1"/>
  <c r="L639" i="1" s="1"/>
  <c r="J640" i="1"/>
  <c r="L640" i="1" s="1"/>
  <c r="J641" i="1"/>
  <c r="L641" i="1" s="1"/>
  <c r="J642" i="1"/>
  <c r="L642" i="1" s="1"/>
  <c r="J643" i="1"/>
  <c r="L643" i="1" s="1"/>
  <c r="J644" i="1"/>
  <c r="L644" i="1" s="1"/>
  <c r="J645" i="1"/>
  <c r="J646" i="1"/>
  <c r="L646" i="1" s="1"/>
  <c r="J647" i="1"/>
  <c r="L647" i="1" s="1"/>
  <c r="J648" i="1"/>
  <c r="L648" i="1" s="1"/>
  <c r="J649" i="1"/>
  <c r="L649" i="1" s="1"/>
  <c r="J650" i="1"/>
  <c r="L650" i="1" s="1"/>
  <c r="J651" i="1"/>
  <c r="L651" i="1" s="1"/>
  <c r="J652" i="1"/>
  <c r="L652" i="1" s="1"/>
  <c r="J653" i="1"/>
  <c r="J654" i="1"/>
  <c r="L654" i="1" s="1"/>
  <c r="J655" i="1"/>
  <c r="L655" i="1" s="1"/>
  <c r="J656" i="1"/>
  <c r="L656" i="1" s="1"/>
  <c r="J657" i="1"/>
  <c r="L657" i="1" s="1"/>
  <c r="J658" i="1"/>
  <c r="L658" i="1" s="1"/>
  <c r="J659" i="1"/>
  <c r="L659" i="1" s="1"/>
  <c r="J660" i="1"/>
  <c r="L660" i="1" s="1"/>
  <c r="J661" i="1"/>
  <c r="J662" i="1"/>
  <c r="L662" i="1" s="1"/>
  <c r="J663" i="1"/>
  <c r="L663" i="1" s="1"/>
  <c r="J664" i="1"/>
  <c r="L664" i="1" s="1"/>
  <c r="J665" i="1"/>
  <c r="L665" i="1" s="1"/>
  <c r="J666" i="1"/>
  <c r="L666" i="1" s="1"/>
  <c r="J667" i="1"/>
  <c r="L667" i="1" s="1"/>
  <c r="J668" i="1"/>
  <c r="L668" i="1" s="1"/>
  <c r="J669" i="1"/>
  <c r="J670" i="1"/>
  <c r="L670" i="1" s="1"/>
  <c r="J671" i="1"/>
  <c r="L671" i="1" s="1"/>
  <c r="J672" i="1"/>
  <c r="L672" i="1" s="1"/>
  <c r="J673" i="1"/>
  <c r="L673" i="1" s="1"/>
  <c r="J674" i="1"/>
  <c r="L674" i="1" s="1"/>
  <c r="J675" i="1"/>
  <c r="L675" i="1" s="1"/>
  <c r="J676" i="1"/>
  <c r="L676" i="1" s="1"/>
  <c r="J677" i="1"/>
  <c r="J678" i="1"/>
  <c r="L678" i="1" s="1"/>
  <c r="J679" i="1"/>
  <c r="L679" i="1" s="1"/>
  <c r="J680" i="1"/>
  <c r="L680" i="1" s="1"/>
  <c r="J681" i="1"/>
  <c r="L681" i="1" s="1"/>
  <c r="J682" i="1"/>
  <c r="L682" i="1" s="1"/>
  <c r="J683" i="1"/>
  <c r="L683" i="1" s="1"/>
  <c r="J684" i="1"/>
  <c r="L684" i="1" s="1"/>
  <c r="J685" i="1"/>
  <c r="L685" i="1" s="1"/>
  <c r="J686" i="1"/>
  <c r="L686" i="1" s="1"/>
  <c r="J687" i="1"/>
  <c r="L687" i="1" s="1"/>
  <c r="J688" i="1"/>
  <c r="L688" i="1" s="1"/>
  <c r="J689" i="1"/>
  <c r="L689" i="1" s="1"/>
  <c r="J690" i="1"/>
  <c r="L690" i="1" s="1"/>
  <c r="J691" i="1"/>
  <c r="L691" i="1" s="1"/>
  <c r="J692" i="1"/>
  <c r="L692" i="1" s="1"/>
  <c r="J693" i="1"/>
  <c r="L693" i="1" s="1"/>
  <c r="J694" i="1"/>
  <c r="L694" i="1" s="1"/>
  <c r="J695" i="1"/>
  <c r="L695" i="1" s="1"/>
  <c r="J696" i="1"/>
  <c r="J697" i="1"/>
  <c r="L697" i="1" s="1"/>
  <c r="J698" i="1"/>
  <c r="L698" i="1" s="1"/>
  <c r="J699" i="1"/>
  <c r="L699" i="1" s="1"/>
  <c r="J700" i="1"/>
  <c r="L700" i="1" s="1"/>
  <c r="J701" i="1"/>
  <c r="L701" i="1" s="1"/>
  <c r="J702" i="1"/>
  <c r="L702" i="1" s="1"/>
  <c r="J703" i="1"/>
  <c r="L703" i="1" s="1"/>
  <c r="J704" i="1"/>
  <c r="L704" i="1" s="1"/>
  <c r="J705" i="1"/>
  <c r="L705" i="1" s="1"/>
  <c r="J706" i="1"/>
  <c r="L706" i="1" s="1"/>
  <c r="J707" i="1"/>
  <c r="J708" i="1"/>
  <c r="L708" i="1" s="1"/>
  <c r="J709" i="1"/>
  <c r="L709" i="1" s="1"/>
  <c r="J710" i="1"/>
  <c r="L710" i="1" s="1"/>
  <c r="J711" i="1"/>
  <c r="L711" i="1" s="1"/>
  <c r="J712" i="1"/>
  <c r="L712" i="1" s="1"/>
  <c r="J713" i="1"/>
  <c r="L713" i="1" s="1"/>
  <c r="J714" i="1"/>
  <c r="L714" i="1" s="1"/>
  <c r="J715" i="1"/>
  <c r="L715" i="1" s="1"/>
  <c r="J716" i="1"/>
  <c r="L716" i="1" s="1"/>
  <c r="J717" i="1"/>
  <c r="L717" i="1" s="1"/>
  <c r="J718" i="1"/>
  <c r="L718" i="1" s="1"/>
  <c r="J719" i="1"/>
  <c r="L719" i="1" s="1"/>
  <c r="J720" i="1"/>
  <c r="L720" i="1" s="1"/>
  <c r="J721" i="1"/>
  <c r="L721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8" i="1"/>
  <c r="J729" i="1"/>
  <c r="L729" i="1" s="1"/>
  <c r="J730" i="1"/>
  <c r="L730" i="1" s="1"/>
  <c r="J731" i="1"/>
  <c r="L731" i="1" s="1"/>
  <c r="J732" i="1"/>
  <c r="L732" i="1" s="1"/>
  <c r="J733" i="1"/>
  <c r="L733" i="1" s="1"/>
  <c r="J734" i="1"/>
  <c r="L734" i="1" s="1"/>
  <c r="J735" i="1"/>
  <c r="L735" i="1" s="1"/>
  <c r="J736" i="1"/>
  <c r="L736" i="1" s="1"/>
  <c r="J737" i="1"/>
  <c r="L737" i="1" s="1"/>
  <c r="J738" i="1"/>
  <c r="L738" i="1" s="1"/>
  <c r="J739" i="1"/>
  <c r="J740" i="1"/>
  <c r="L740" i="1" s="1"/>
  <c r="J741" i="1"/>
  <c r="L741" i="1" s="1"/>
  <c r="J742" i="1"/>
  <c r="L742" i="1" s="1"/>
  <c r="J743" i="1"/>
  <c r="L743" i="1" s="1"/>
  <c r="J744" i="1"/>
  <c r="L744" i="1" s="1"/>
  <c r="J745" i="1"/>
  <c r="L745" i="1" s="1"/>
  <c r="J746" i="1"/>
  <c r="L746" i="1" s="1"/>
  <c r="J747" i="1"/>
  <c r="L747" i="1" s="1"/>
  <c r="J748" i="1"/>
  <c r="L748" i="1" s="1"/>
  <c r="J749" i="1"/>
  <c r="L749" i="1" s="1"/>
  <c r="J750" i="1"/>
  <c r="L750" i="1" s="1"/>
  <c r="J751" i="1"/>
  <c r="L751" i="1" s="1"/>
  <c r="J752" i="1"/>
  <c r="L752" i="1" s="1"/>
  <c r="J753" i="1"/>
  <c r="L753" i="1" s="1"/>
  <c r="J754" i="1"/>
  <c r="L754" i="1" s="1"/>
  <c r="J755" i="1"/>
  <c r="L755" i="1" s="1"/>
  <c r="J756" i="1"/>
  <c r="L756" i="1" s="1"/>
  <c r="J757" i="1"/>
  <c r="L757" i="1" s="1"/>
  <c r="J758" i="1"/>
  <c r="L758" i="1" s="1"/>
  <c r="J759" i="1"/>
  <c r="L759" i="1" s="1"/>
  <c r="J760" i="1"/>
  <c r="L760" i="1" s="1"/>
  <c r="J761" i="1"/>
  <c r="L761" i="1" s="1"/>
  <c r="J762" i="1"/>
  <c r="L762" i="1" s="1"/>
  <c r="J763" i="1"/>
  <c r="L763" i="1" s="1"/>
  <c r="J764" i="1"/>
  <c r="L764" i="1" s="1"/>
  <c r="J765" i="1"/>
  <c r="L765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74" i="1"/>
  <c r="L774" i="1" s="1"/>
  <c r="J775" i="1"/>
  <c r="L775" i="1" s="1"/>
  <c r="J776" i="1"/>
  <c r="L776" i="1" s="1"/>
  <c r="J777" i="1"/>
  <c r="L777" i="1" s="1"/>
  <c r="J778" i="1"/>
  <c r="L778" i="1" s="1"/>
  <c r="J779" i="1"/>
  <c r="L779" i="1" s="1"/>
  <c r="J780" i="1"/>
  <c r="L780" i="1" s="1"/>
  <c r="J781" i="1"/>
  <c r="L781" i="1" s="1"/>
  <c r="J782" i="1"/>
  <c r="L782" i="1" s="1"/>
  <c r="J783" i="1"/>
  <c r="L783" i="1" s="1"/>
  <c r="J784" i="1"/>
  <c r="L784" i="1" s="1"/>
  <c r="J785" i="1"/>
  <c r="L785" i="1" s="1"/>
  <c r="J786" i="1"/>
  <c r="L786" i="1" s="1"/>
  <c r="J787" i="1"/>
  <c r="L787" i="1" s="1"/>
  <c r="J788" i="1"/>
  <c r="L788" i="1" s="1"/>
  <c r="J789" i="1"/>
  <c r="L789" i="1" s="1"/>
  <c r="J790" i="1"/>
  <c r="L790" i="1" s="1"/>
  <c r="J791" i="1"/>
  <c r="L791" i="1" s="1"/>
  <c r="J792" i="1"/>
  <c r="L792" i="1" s="1"/>
  <c r="J793" i="1"/>
  <c r="L793" i="1" s="1"/>
  <c r="J794" i="1"/>
  <c r="L794" i="1" s="1"/>
  <c r="J795" i="1"/>
  <c r="L795" i="1" s="1"/>
  <c r="J796" i="1"/>
  <c r="L796" i="1" s="1"/>
  <c r="J797" i="1"/>
  <c r="L797" i="1" s="1"/>
  <c r="J798" i="1"/>
  <c r="L798" i="1" s="1"/>
  <c r="J799" i="1"/>
  <c r="L799" i="1" s="1"/>
  <c r="J800" i="1"/>
  <c r="L800" i="1" s="1"/>
  <c r="J801" i="1"/>
  <c r="L801" i="1" s="1"/>
  <c r="J802" i="1"/>
  <c r="L802" i="1" s="1"/>
  <c r="J803" i="1"/>
  <c r="L803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10" i="1"/>
  <c r="L810" i="1" s="1"/>
  <c r="J811" i="1"/>
  <c r="L811" i="1" s="1"/>
  <c r="J812" i="1"/>
  <c r="L812" i="1" s="1"/>
  <c r="J813" i="1"/>
  <c r="L813" i="1" s="1"/>
  <c r="J814" i="1"/>
  <c r="L814" i="1" s="1"/>
  <c r="J815" i="1"/>
  <c r="L815" i="1" s="1"/>
  <c r="J816" i="1"/>
  <c r="L816" i="1" s="1"/>
  <c r="J817" i="1"/>
  <c r="L817" i="1" s="1"/>
  <c r="J818" i="1"/>
  <c r="L818" i="1" s="1"/>
  <c r="J819" i="1"/>
  <c r="L819" i="1" s="1"/>
  <c r="J820" i="1"/>
  <c r="L820" i="1" s="1"/>
  <c r="J821" i="1"/>
  <c r="L821" i="1" s="1"/>
  <c r="J822" i="1"/>
  <c r="L822" i="1" s="1"/>
  <c r="J823" i="1"/>
  <c r="L823" i="1" s="1"/>
  <c r="J824" i="1"/>
  <c r="L824" i="1" s="1"/>
  <c r="J825" i="1"/>
  <c r="L825" i="1" s="1"/>
  <c r="J826" i="1"/>
  <c r="L826" i="1" s="1"/>
  <c r="J827" i="1"/>
  <c r="L827" i="1" s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35" i="1"/>
  <c r="L835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42" i="1"/>
  <c r="L842" i="1" s="1"/>
  <c r="J843" i="1"/>
  <c r="L843" i="1" s="1"/>
  <c r="J844" i="1"/>
  <c r="L844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51" i="1"/>
  <c r="L851" i="1" s="1"/>
  <c r="J852" i="1"/>
  <c r="L852" i="1" s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L859" i="1" s="1"/>
  <c r="J860" i="1"/>
  <c r="L860" i="1" s="1"/>
  <c r="J861" i="1"/>
  <c r="L861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8" i="1"/>
  <c r="L868" i="1" s="1"/>
  <c r="J869" i="1"/>
  <c r="L869" i="1" s="1"/>
  <c r="J870" i="1"/>
  <c r="L870" i="1" s="1"/>
  <c r="J871" i="1"/>
  <c r="L871" i="1" s="1"/>
  <c r="J872" i="1"/>
  <c r="L872" i="1" s="1"/>
  <c r="J873" i="1"/>
  <c r="L873" i="1" s="1"/>
  <c r="J874" i="1"/>
  <c r="L874" i="1" s="1"/>
  <c r="J875" i="1"/>
  <c r="L875" i="1" s="1"/>
  <c r="J876" i="1"/>
  <c r="L876" i="1" s="1"/>
  <c r="J877" i="1"/>
  <c r="L877" i="1" s="1"/>
  <c r="J878" i="1"/>
  <c r="L878" i="1" s="1"/>
  <c r="J879" i="1"/>
  <c r="L879" i="1" s="1"/>
  <c r="J880" i="1"/>
  <c r="L880" i="1" s="1"/>
  <c r="J881" i="1"/>
  <c r="L881" i="1" s="1"/>
  <c r="J882" i="1"/>
  <c r="L882" i="1" s="1"/>
  <c r="J883" i="1"/>
  <c r="L883" i="1" s="1"/>
  <c r="J884" i="1"/>
  <c r="L884" i="1" s="1"/>
  <c r="J885" i="1"/>
  <c r="L885" i="1" s="1"/>
  <c r="J886" i="1"/>
  <c r="L886" i="1" s="1"/>
  <c r="J887" i="1"/>
  <c r="L887" i="1" s="1"/>
  <c r="J888" i="1"/>
  <c r="L888" i="1" s="1"/>
  <c r="J889" i="1"/>
  <c r="L889" i="1" s="1"/>
  <c r="J890" i="1"/>
  <c r="L890" i="1" s="1"/>
  <c r="J891" i="1"/>
  <c r="L891" i="1" s="1"/>
  <c r="J892" i="1"/>
  <c r="L892" i="1" s="1"/>
  <c r="J893" i="1"/>
  <c r="L893" i="1" s="1"/>
  <c r="J894" i="1"/>
  <c r="L894" i="1" s="1"/>
  <c r="J895" i="1"/>
  <c r="L895" i="1" s="1"/>
  <c r="J896" i="1"/>
  <c r="L896" i="1" s="1"/>
  <c r="J897" i="1"/>
  <c r="L897" i="1" s="1"/>
  <c r="J898" i="1"/>
  <c r="L898" i="1" s="1"/>
  <c r="J899" i="1"/>
  <c r="L899" i="1" s="1"/>
  <c r="J900" i="1"/>
  <c r="L900" i="1" s="1"/>
  <c r="J901" i="1"/>
  <c r="L901" i="1" s="1"/>
  <c r="J902" i="1"/>
  <c r="L902" i="1" s="1"/>
  <c r="J903" i="1"/>
  <c r="L903" i="1" s="1"/>
  <c r="J904" i="1"/>
  <c r="L904" i="1" s="1"/>
  <c r="J905" i="1"/>
  <c r="L905" i="1" s="1"/>
  <c r="J906" i="1"/>
  <c r="L906" i="1" s="1"/>
  <c r="J907" i="1"/>
  <c r="L907" i="1" s="1"/>
  <c r="J908" i="1"/>
  <c r="L908" i="1" s="1"/>
  <c r="J909" i="1"/>
  <c r="L909" i="1" s="1"/>
  <c r="J910" i="1"/>
  <c r="L910" i="1" s="1"/>
  <c r="J911" i="1"/>
  <c r="L911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20" i="1"/>
  <c r="L920" i="1" s="1"/>
  <c r="J921" i="1"/>
  <c r="L921" i="1" s="1"/>
  <c r="J922" i="1"/>
  <c r="L922" i="1" s="1"/>
  <c r="J923" i="1"/>
  <c r="L923" i="1" s="1"/>
  <c r="J924" i="1"/>
  <c r="L924" i="1" s="1"/>
  <c r="J925" i="1"/>
  <c r="L925" i="1" s="1"/>
  <c r="J926" i="1"/>
  <c r="L926" i="1" s="1"/>
  <c r="J927" i="1"/>
  <c r="L927" i="1" s="1"/>
  <c r="J928" i="1"/>
  <c r="L928" i="1" s="1"/>
  <c r="J929" i="1"/>
  <c r="L929" i="1" s="1"/>
  <c r="J930" i="1"/>
  <c r="L930" i="1" s="1"/>
  <c r="J931" i="1"/>
  <c r="L931" i="1" s="1"/>
  <c r="J932" i="1"/>
  <c r="L932" i="1" s="1"/>
  <c r="J933" i="1"/>
  <c r="L933" i="1" s="1"/>
  <c r="J934" i="1"/>
  <c r="L934" i="1" s="1"/>
  <c r="J935" i="1"/>
  <c r="L935" i="1" s="1"/>
  <c r="J936" i="1"/>
  <c r="L936" i="1" s="1"/>
  <c r="J937" i="1"/>
  <c r="L937" i="1" s="1"/>
  <c r="J938" i="1"/>
  <c r="L938" i="1" s="1"/>
  <c r="J939" i="1"/>
  <c r="L939" i="1" s="1"/>
  <c r="J940" i="1"/>
  <c r="J941" i="1"/>
  <c r="L941" i="1" s="1"/>
  <c r="J942" i="1"/>
  <c r="L942" i="1" s="1"/>
  <c r="J943" i="1"/>
  <c r="L943" i="1" s="1"/>
  <c r="J944" i="1"/>
  <c r="L944" i="1" s="1"/>
  <c r="J945" i="1"/>
  <c r="L945" i="1" s="1"/>
  <c r="J946" i="1"/>
  <c r="L946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55" i="1"/>
  <c r="L955" i="1" s="1"/>
  <c r="J956" i="1"/>
  <c r="L956" i="1" s="1"/>
  <c r="J957" i="1"/>
  <c r="L957" i="1" s="1"/>
  <c r="J958" i="1"/>
  <c r="L958" i="1" s="1"/>
  <c r="J959" i="1"/>
  <c r="L959" i="1" s="1"/>
  <c r="J960" i="1"/>
  <c r="L960" i="1" s="1"/>
  <c r="J961" i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8" i="1"/>
  <c r="L968" i="1" s="1"/>
  <c r="J969" i="1"/>
  <c r="L969" i="1" s="1"/>
  <c r="J970" i="1"/>
  <c r="L970" i="1" s="1"/>
  <c r="J971" i="1"/>
  <c r="L971" i="1" s="1"/>
  <c r="J972" i="1"/>
  <c r="L972" i="1" s="1"/>
  <c r="J973" i="1"/>
  <c r="L973" i="1" s="1"/>
  <c r="J974" i="1"/>
  <c r="L974" i="1" s="1"/>
  <c r="J975" i="1"/>
  <c r="L975" i="1" s="1"/>
  <c r="J976" i="1"/>
  <c r="L976" i="1" s="1"/>
  <c r="J977" i="1"/>
  <c r="L977" i="1" s="1"/>
  <c r="J978" i="1"/>
  <c r="L978" i="1" s="1"/>
  <c r="J979" i="1"/>
  <c r="L979" i="1" s="1"/>
  <c r="J980" i="1"/>
  <c r="L980" i="1" s="1"/>
  <c r="J981" i="1"/>
  <c r="L981" i="1" s="1"/>
  <c r="J982" i="1"/>
  <c r="L982" i="1" s="1"/>
  <c r="J983" i="1"/>
  <c r="L983" i="1" s="1"/>
  <c r="J984" i="1"/>
  <c r="L984" i="1" s="1"/>
  <c r="J985" i="1"/>
  <c r="L985" i="1" s="1"/>
  <c r="J986" i="1"/>
  <c r="L986" i="1" s="1"/>
  <c r="J987" i="1"/>
  <c r="L987" i="1" s="1"/>
  <c r="J988" i="1"/>
  <c r="L988" i="1" s="1"/>
  <c r="J989" i="1"/>
  <c r="L989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8" i="1"/>
  <c r="L998" i="1" s="1"/>
  <c r="J999" i="1"/>
  <c r="L999" i="1" s="1"/>
  <c r="J1000" i="1"/>
  <c r="L1000" i="1" s="1"/>
  <c r="J1001" i="1"/>
  <c r="L1001" i="1" s="1"/>
  <c r="J1002" i="1"/>
  <c r="L1002" i="1" s="1"/>
  <c r="J1003" i="1"/>
  <c r="L1003" i="1" s="1"/>
  <c r="J1004" i="1"/>
  <c r="J1005" i="1"/>
  <c r="L1005" i="1" s="1"/>
  <c r="J1006" i="1"/>
  <c r="L1006" i="1" s="1"/>
  <c r="J1007" i="1"/>
  <c r="L1007" i="1" s="1"/>
  <c r="J1008" i="1"/>
  <c r="L1008" i="1" s="1"/>
  <c r="J1009" i="1"/>
  <c r="L1009" i="1" s="1"/>
  <c r="J18" i="1"/>
  <c r="L18" i="1" s="1"/>
  <c r="J19" i="1"/>
  <c r="L19" i="1" s="1"/>
  <c r="J20" i="1"/>
  <c r="L20" i="1" s="1"/>
  <c r="J21" i="1"/>
  <c r="J22" i="1"/>
  <c r="L22" i="1" s="1"/>
  <c r="J23" i="1"/>
  <c r="L23" i="1" s="1"/>
  <c r="J24" i="1"/>
  <c r="L24" i="1" s="1"/>
  <c r="J25" i="1"/>
  <c r="J26" i="1"/>
  <c r="L26" i="1" s="1"/>
  <c r="J27" i="1"/>
  <c r="L27" i="1" s="1"/>
  <c r="J28" i="1"/>
  <c r="L28" i="1" s="1"/>
  <c r="J29" i="1"/>
  <c r="J30" i="1"/>
  <c r="L30" i="1" s="1"/>
  <c r="J31" i="1"/>
  <c r="L31" i="1" s="1"/>
  <c r="J32" i="1"/>
  <c r="L32" i="1" s="1"/>
  <c r="J33" i="1"/>
  <c r="J34" i="1"/>
  <c r="L34" i="1" s="1"/>
  <c r="J35" i="1"/>
  <c r="L35" i="1" s="1"/>
  <c r="J36" i="1"/>
  <c r="L36" i="1" s="1"/>
  <c r="J37" i="1"/>
  <c r="J38" i="1"/>
  <c r="L38" i="1" s="1"/>
  <c r="J39" i="1"/>
  <c r="L39" i="1" s="1"/>
  <c r="J40" i="1"/>
  <c r="L40" i="1" s="1"/>
  <c r="J41" i="1"/>
  <c r="J42" i="1"/>
  <c r="L42" i="1" s="1"/>
  <c r="J43" i="1"/>
  <c r="L43" i="1" s="1"/>
  <c r="J44" i="1"/>
  <c r="L44" i="1" s="1"/>
  <c r="J45" i="1"/>
  <c r="J46" i="1"/>
  <c r="L46" i="1" s="1"/>
  <c r="J47" i="1"/>
  <c r="L47" i="1" s="1"/>
  <c r="J48" i="1"/>
  <c r="L48" i="1" s="1"/>
  <c r="J49" i="1"/>
  <c r="J50" i="1"/>
  <c r="L50" i="1" s="1"/>
  <c r="J51" i="1"/>
  <c r="L51" i="1" s="1"/>
  <c r="J52" i="1"/>
  <c r="L52" i="1" s="1"/>
  <c r="J53" i="1"/>
  <c r="J54" i="1"/>
  <c r="L54" i="1" s="1"/>
  <c r="J55" i="1"/>
  <c r="L55" i="1" s="1"/>
  <c r="J56" i="1"/>
  <c r="L56" i="1" s="1"/>
  <c r="J57" i="1"/>
  <c r="J58" i="1"/>
  <c r="L58" i="1" s="1"/>
  <c r="J59" i="1"/>
  <c r="L59" i="1" s="1"/>
  <c r="J60" i="1"/>
  <c r="L60" i="1" s="1"/>
  <c r="J61" i="1"/>
  <c r="J62" i="1"/>
  <c r="L62" i="1" s="1"/>
  <c r="J63" i="1"/>
  <c r="L63" i="1" s="1"/>
  <c r="J64" i="1"/>
  <c r="L64" i="1" s="1"/>
  <c r="J65" i="1"/>
  <c r="J66" i="1"/>
  <c r="L66" i="1" s="1"/>
  <c r="J67" i="1"/>
  <c r="L67" i="1" s="1"/>
  <c r="J68" i="1"/>
  <c r="L68" i="1" s="1"/>
  <c r="J69" i="1"/>
  <c r="J70" i="1"/>
  <c r="L70" i="1" s="1"/>
  <c r="J71" i="1"/>
  <c r="L71" i="1" s="1"/>
  <c r="J72" i="1"/>
  <c r="L72" i="1" s="1"/>
  <c r="J73" i="1"/>
  <c r="J74" i="1"/>
  <c r="L74" i="1" s="1"/>
  <c r="J75" i="1"/>
  <c r="L75" i="1" s="1"/>
  <c r="J76" i="1"/>
  <c r="L76" i="1" s="1"/>
  <c r="J77" i="1"/>
  <c r="J78" i="1"/>
  <c r="L78" i="1" s="1"/>
  <c r="J79" i="1"/>
  <c r="L79" i="1" s="1"/>
  <c r="J80" i="1"/>
  <c r="L80" i="1" s="1"/>
  <c r="J81" i="1"/>
  <c r="J82" i="1"/>
  <c r="L82" i="1" s="1"/>
  <c r="J83" i="1"/>
  <c r="L83" i="1" s="1"/>
  <c r="J84" i="1"/>
  <c r="L84" i="1" s="1"/>
  <c r="J85" i="1"/>
  <c r="J86" i="1"/>
  <c r="L86" i="1" s="1"/>
  <c r="J87" i="1"/>
  <c r="L87" i="1" s="1"/>
  <c r="J88" i="1"/>
  <c r="L88" i="1" s="1"/>
  <c r="J89" i="1"/>
  <c r="J90" i="1"/>
  <c r="L90" i="1" s="1"/>
  <c r="J91" i="1"/>
  <c r="L91" i="1" s="1"/>
  <c r="J92" i="1"/>
  <c r="L92" i="1" s="1"/>
  <c r="J93" i="1"/>
  <c r="J94" i="1"/>
  <c r="L94" i="1" s="1"/>
  <c r="J95" i="1"/>
  <c r="L95" i="1" s="1"/>
  <c r="J96" i="1"/>
  <c r="L96" i="1" s="1"/>
  <c r="J97" i="1"/>
  <c r="J98" i="1"/>
  <c r="L98" i="1" s="1"/>
  <c r="J99" i="1"/>
  <c r="L99" i="1" s="1"/>
  <c r="J100" i="1"/>
  <c r="L100" i="1" s="1"/>
  <c r="J101" i="1"/>
  <c r="J102" i="1"/>
  <c r="L102" i="1" s="1"/>
  <c r="J103" i="1"/>
  <c r="L103" i="1" s="1"/>
  <c r="J104" i="1"/>
  <c r="L104" i="1" s="1"/>
  <c r="J105" i="1"/>
  <c r="J106" i="1"/>
  <c r="L106" i="1" s="1"/>
  <c r="J107" i="1"/>
  <c r="L107" i="1" s="1"/>
  <c r="J108" i="1"/>
  <c r="L108" i="1" s="1"/>
  <c r="J109" i="1"/>
  <c r="J110" i="1"/>
  <c r="L110" i="1" s="1"/>
  <c r="J111" i="1"/>
  <c r="L111" i="1" s="1"/>
  <c r="J112" i="1"/>
  <c r="L112" i="1" s="1"/>
  <c r="J113" i="1"/>
  <c r="J114" i="1"/>
  <c r="L114" i="1" s="1"/>
  <c r="J115" i="1"/>
  <c r="L115" i="1" s="1"/>
  <c r="J116" i="1"/>
  <c r="L116" i="1" s="1"/>
  <c r="J117" i="1"/>
  <c r="J118" i="1"/>
  <c r="L118" i="1" s="1"/>
  <c r="J119" i="1"/>
  <c r="L119" i="1" s="1"/>
  <c r="J120" i="1"/>
  <c r="L120" i="1" s="1"/>
  <c r="J121" i="1"/>
  <c r="J122" i="1"/>
  <c r="L122" i="1" s="1"/>
  <c r="J123" i="1"/>
  <c r="L123" i="1" s="1"/>
  <c r="J124" i="1"/>
  <c r="L124" i="1" s="1"/>
  <c r="J125" i="1"/>
  <c r="J126" i="1"/>
  <c r="L126" i="1" s="1"/>
  <c r="J127" i="1"/>
  <c r="L127" i="1" s="1"/>
  <c r="J128" i="1"/>
  <c r="L128" i="1" s="1"/>
  <c r="J129" i="1"/>
  <c r="J130" i="1"/>
  <c r="L130" i="1" s="1"/>
  <c r="J131" i="1"/>
  <c r="L131" i="1" s="1"/>
  <c r="J132" i="1"/>
  <c r="L132" i="1" s="1"/>
  <c r="J133" i="1"/>
  <c r="J134" i="1"/>
  <c r="L134" i="1" s="1"/>
  <c r="J135" i="1"/>
  <c r="L135" i="1" s="1"/>
  <c r="J136" i="1"/>
  <c r="L136" i="1" s="1"/>
  <c r="J137" i="1"/>
  <c r="J138" i="1"/>
  <c r="L138" i="1" s="1"/>
  <c r="J139" i="1"/>
  <c r="L139" i="1" s="1"/>
  <c r="J140" i="1"/>
  <c r="L140" i="1" s="1"/>
  <c r="J141" i="1"/>
  <c r="J142" i="1"/>
  <c r="L142" i="1" s="1"/>
  <c r="J143" i="1"/>
  <c r="L143" i="1" s="1"/>
  <c r="J144" i="1"/>
  <c r="L144" i="1" s="1"/>
  <c r="J145" i="1"/>
  <c r="J146" i="1"/>
  <c r="L146" i="1" s="1"/>
  <c r="J147" i="1"/>
  <c r="L147" i="1" s="1"/>
  <c r="J148" i="1"/>
  <c r="L148" i="1" s="1"/>
  <c r="J149" i="1"/>
  <c r="J150" i="1"/>
  <c r="L150" i="1" s="1"/>
  <c r="J151" i="1"/>
  <c r="L151" i="1" s="1"/>
  <c r="J152" i="1"/>
  <c r="L152" i="1" s="1"/>
  <c r="J153" i="1"/>
  <c r="J154" i="1"/>
  <c r="L154" i="1" s="1"/>
  <c r="J155" i="1"/>
  <c r="L155" i="1" s="1"/>
  <c r="J156" i="1"/>
  <c r="L156" i="1" s="1"/>
  <c r="J157" i="1"/>
  <c r="J158" i="1"/>
  <c r="L158" i="1" s="1"/>
  <c r="J159" i="1"/>
  <c r="L159" i="1" s="1"/>
  <c r="J160" i="1"/>
  <c r="L160" i="1" s="1"/>
  <c r="J161" i="1"/>
  <c r="J162" i="1"/>
  <c r="L162" i="1" s="1"/>
  <c r="J163" i="1"/>
  <c r="L163" i="1" s="1"/>
  <c r="J164" i="1"/>
  <c r="L164" i="1" s="1"/>
  <c r="J165" i="1"/>
  <c r="J166" i="1"/>
  <c r="L166" i="1" s="1"/>
  <c r="J167" i="1"/>
  <c r="L167" i="1" s="1"/>
  <c r="J168" i="1"/>
  <c r="L168" i="1" s="1"/>
  <c r="J169" i="1"/>
  <c r="J170" i="1"/>
  <c r="L170" i="1" s="1"/>
  <c r="J171" i="1"/>
  <c r="L171" i="1" s="1"/>
  <c r="J172" i="1"/>
  <c r="L172" i="1" s="1"/>
  <c r="J173" i="1"/>
  <c r="J174" i="1"/>
  <c r="L174" i="1" s="1"/>
  <c r="J175" i="1"/>
  <c r="L175" i="1" s="1"/>
  <c r="J176" i="1"/>
  <c r="L176" i="1" s="1"/>
  <c r="J177" i="1"/>
  <c r="J178" i="1"/>
  <c r="L178" i="1" s="1"/>
  <c r="J179" i="1"/>
  <c r="L179" i="1" s="1"/>
  <c r="J180" i="1"/>
  <c r="L180" i="1" s="1"/>
  <c r="J181" i="1"/>
  <c r="J182" i="1"/>
  <c r="L182" i="1" s="1"/>
  <c r="J183" i="1"/>
  <c r="L183" i="1" s="1"/>
  <c r="J184" i="1"/>
  <c r="L184" i="1" s="1"/>
  <c r="J185" i="1"/>
  <c r="J186" i="1"/>
  <c r="L186" i="1" s="1"/>
  <c r="J187" i="1"/>
  <c r="L187" i="1" s="1"/>
  <c r="J188" i="1"/>
  <c r="L188" i="1" s="1"/>
  <c r="J189" i="1"/>
  <c r="J190" i="1"/>
  <c r="L190" i="1" s="1"/>
  <c r="J191" i="1"/>
  <c r="L191" i="1" s="1"/>
  <c r="J192" i="1"/>
  <c r="L192" i="1" s="1"/>
  <c r="J193" i="1"/>
  <c r="J194" i="1"/>
  <c r="L194" i="1" s="1"/>
  <c r="J195" i="1"/>
  <c r="L195" i="1" s="1"/>
  <c r="J196" i="1"/>
  <c r="L196" i="1" s="1"/>
  <c r="J197" i="1"/>
  <c r="J198" i="1"/>
  <c r="L198" i="1" s="1"/>
  <c r="J199" i="1"/>
  <c r="L199" i="1" s="1"/>
  <c r="J200" i="1"/>
  <c r="L200" i="1" s="1"/>
  <c r="J201" i="1"/>
  <c r="J202" i="1"/>
  <c r="L202" i="1" s="1"/>
  <c r="J203" i="1"/>
  <c r="L203" i="1" s="1"/>
  <c r="J204" i="1"/>
  <c r="L204" i="1" s="1"/>
  <c r="J205" i="1"/>
  <c r="J206" i="1"/>
  <c r="L206" i="1" s="1"/>
  <c r="J207" i="1"/>
  <c r="L207" i="1" s="1"/>
  <c r="J208" i="1"/>
  <c r="L208" i="1" s="1"/>
  <c r="J209" i="1"/>
  <c r="J210" i="1"/>
  <c r="L210" i="1" s="1"/>
  <c r="J211" i="1"/>
  <c r="L211" i="1" s="1"/>
  <c r="J212" i="1"/>
  <c r="L212" i="1" s="1"/>
  <c r="J213" i="1"/>
  <c r="J214" i="1"/>
  <c r="L214" i="1" s="1"/>
  <c r="J215" i="1"/>
  <c r="L215" i="1" s="1"/>
  <c r="J216" i="1"/>
  <c r="L216" i="1" s="1"/>
  <c r="J217" i="1"/>
  <c r="J218" i="1"/>
  <c r="L218" i="1" s="1"/>
  <c r="J219" i="1"/>
  <c r="L219" i="1" s="1"/>
  <c r="J220" i="1"/>
  <c r="L220" i="1" s="1"/>
  <c r="J221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2" i="1"/>
  <c r="L2" i="1" s="1"/>
</calcChain>
</file>

<file path=xl/sharedStrings.xml><?xml version="1.0" encoding="utf-8"?>
<sst xmlns="http://schemas.openxmlformats.org/spreadsheetml/2006/main" count="3451" uniqueCount="294">
  <si>
    <t>Rate</t>
  </si>
  <si>
    <t>Inoculated Untreated</t>
  </si>
  <si>
    <t>.</t>
  </si>
  <si>
    <t xml:space="preserve">Omega </t>
  </si>
  <si>
    <t>pt/A</t>
  </si>
  <si>
    <t>R1</t>
  </si>
  <si>
    <t>Aproach</t>
  </si>
  <si>
    <t>fl oz/A</t>
  </si>
  <si>
    <t>NIS</t>
  </si>
  <si>
    <t>%v/v</t>
  </si>
  <si>
    <t>Endura</t>
  </si>
  <si>
    <t>oz/A</t>
  </si>
  <si>
    <t>Topsin 4.5 FL</t>
  </si>
  <si>
    <t>Proline</t>
  </si>
  <si>
    <t>Headline</t>
  </si>
  <si>
    <t>Domark</t>
  </si>
  <si>
    <t xml:space="preserve">Quadris </t>
  </si>
  <si>
    <t>Stratego (original - not Stratego YLD)</t>
  </si>
  <si>
    <t>Cobra</t>
  </si>
  <si>
    <t>COC</t>
  </si>
  <si>
    <t>R3</t>
  </si>
  <si>
    <t>PT/A</t>
  </si>
  <si>
    <t>V4</t>
  </si>
  <si>
    <t>Headline 2.09 EC</t>
  </si>
  <si>
    <t>Alto 100 SL</t>
  </si>
  <si>
    <t>GAL/100 GAL</t>
  </si>
  <si>
    <t>Omega</t>
  </si>
  <si>
    <t>Roundup Original Maxx</t>
  </si>
  <si>
    <t>Stratego YLD</t>
  </si>
  <si>
    <t>OZ/A</t>
  </si>
  <si>
    <t>Domark 230 ME</t>
  </si>
  <si>
    <t>Quadris</t>
  </si>
  <si>
    <t>Folicur</t>
  </si>
  <si>
    <t>Induce</t>
  </si>
  <si>
    <t>V5</t>
  </si>
  <si>
    <t>Topsin</t>
  </si>
  <si>
    <t>Topguard</t>
  </si>
  <si>
    <t>Activator 90</t>
  </si>
  <si>
    <t>Stratego</t>
  </si>
  <si>
    <t>Regalia Maxx</t>
  </si>
  <si>
    <t>Topsin M WSB</t>
  </si>
  <si>
    <t>lb/A</t>
  </si>
  <si>
    <t>HSOC/Blend</t>
  </si>
  <si>
    <t>HSOC/Blend*</t>
  </si>
  <si>
    <t>Priaxor</t>
  </si>
  <si>
    <t>Nimbus</t>
  </si>
  <si>
    <t>oz/a</t>
  </si>
  <si>
    <t>Inoculated untreated</t>
  </si>
  <si>
    <t>Fortix</t>
  </si>
  <si>
    <t>Quadris Top</t>
  </si>
  <si>
    <t>Incognito 4.5F</t>
  </si>
  <si>
    <t>Custodia</t>
  </si>
  <si>
    <t>Orius 3.6 F</t>
  </si>
  <si>
    <t xml:space="preserve">Topsin M </t>
  </si>
  <si>
    <t>% v/v</t>
  </si>
  <si>
    <t>Proline 480SC</t>
  </si>
  <si>
    <t>Aproach Prima</t>
  </si>
  <si>
    <t>R2</t>
  </si>
  <si>
    <t xml:space="preserve">Aproach </t>
  </si>
  <si>
    <t>Uninoculated Untreated</t>
  </si>
  <si>
    <t>Cercobin</t>
  </si>
  <si>
    <t>pt/a</t>
  </si>
  <si>
    <t>V3</t>
  </si>
  <si>
    <t>Untreated control</t>
  </si>
  <si>
    <t>R4</t>
  </si>
  <si>
    <t>R5</t>
  </si>
  <si>
    <t xml:space="preserve">Proline 480 SC </t>
  </si>
  <si>
    <t>V4 or V5</t>
  </si>
  <si>
    <t>Omega 500F</t>
  </si>
  <si>
    <t>Headline (2.09)</t>
  </si>
  <si>
    <t>ADAMA BS1</t>
  </si>
  <si>
    <t>UTC</t>
  </si>
  <si>
    <t>Quilt Xcel</t>
  </si>
  <si>
    <t xml:space="preserve">Stratego YLD </t>
  </si>
  <si>
    <t>Leverage</t>
  </si>
  <si>
    <t>Trivapro</t>
  </si>
  <si>
    <t>Quilt Xcel + Solatenol</t>
  </si>
  <si>
    <t>Proline 480 SC</t>
  </si>
  <si>
    <t>Cadet</t>
  </si>
  <si>
    <t>Untreated</t>
  </si>
  <si>
    <t>fl oz/a</t>
  </si>
  <si>
    <t>% (v/v)</t>
  </si>
  <si>
    <t>Propulse</t>
  </si>
  <si>
    <t>gal/A</t>
  </si>
  <si>
    <t>Affiance</t>
  </si>
  <si>
    <t xml:space="preserve"> </t>
  </si>
  <si>
    <t xml:space="preserve">Domark 230ME </t>
  </si>
  <si>
    <t xml:space="preserve">Endura 70 WG </t>
  </si>
  <si>
    <t xml:space="preserve">Aproach SC </t>
  </si>
  <si>
    <t>Aproach SC</t>
  </si>
  <si>
    <t xml:space="preserve">Cobra </t>
  </si>
  <si>
    <t xml:space="preserve">Cobra  </t>
  </si>
  <si>
    <t xml:space="preserve">Endura </t>
  </si>
  <si>
    <t>pint/A</t>
  </si>
  <si>
    <t>BAS 793..F</t>
  </si>
  <si>
    <t>Zolera FX 3.34 SC</t>
  </si>
  <si>
    <t>USF0728</t>
  </si>
  <si>
    <t>Lorsban 4E</t>
  </si>
  <si>
    <t>Lorsban Advanced</t>
  </si>
  <si>
    <t>A19649</t>
  </si>
  <si>
    <t>A21461</t>
  </si>
  <si>
    <t>Check</t>
  </si>
  <si>
    <t>oz</t>
  </si>
  <si>
    <t>Non-ionic Surfactant</t>
  </si>
  <si>
    <t>fl.oz.</t>
  </si>
  <si>
    <t>Incognito 4.5 FL</t>
  </si>
  <si>
    <t>Surfactant-COC</t>
  </si>
  <si>
    <t>Aproach PRIMA</t>
  </si>
  <si>
    <t>Untreated Check</t>
  </si>
  <si>
    <t>Incognito 4.5L</t>
  </si>
  <si>
    <t>Non-treated Check</t>
  </si>
  <si>
    <t>g ai/a</t>
  </si>
  <si>
    <t>Induce 90 SL</t>
  </si>
  <si>
    <t>Aproach 2.08 SC</t>
  </si>
  <si>
    <t>HeadsUp Seed Treatment</t>
  </si>
  <si>
    <t>g ai/cwt</t>
  </si>
  <si>
    <t>SETRLI</t>
  </si>
  <si>
    <t>CruiserMaxx</t>
  </si>
  <si>
    <t>fl oz/cwt</t>
  </si>
  <si>
    <t>HeadsUp Foliar Application</t>
  </si>
  <si>
    <t>g ai/gal</t>
  </si>
  <si>
    <t>V1</t>
  </si>
  <si>
    <t>V5/6</t>
  </si>
  <si>
    <t>Non-treated</t>
  </si>
  <si>
    <t>FORTIX</t>
  </si>
  <si>
    <t>STRATEGO  YLD</t>
  </si>
  <si>
    <t>Poacic Acid</t>
  </si>
  <si>
    <t>ppm</t>
  </si>
  <si>
    <t>Vida</t>
  </si>
  <si>
    <t>Omega 500 F</t>
  </si>
  <si>
    <t>Headline 2.08SC</t>
  </si>
  <si>
    <t>Endura 70 WDG</t>
  </si>
  <si>
    <t>Andiamo</t>
  </si>
  <si>
    <t>Andiamo Duo</t>
  </si>
  <si>
    <t>SA-0040309</t>
  </si>
  <si>
    <t>SA-0040314</t>
  </si>
  <si>
    <t>Mazinga</t>
  </si>
  <si>
    <t>Echo 720</t>
  </si>
  <si>
    <t>SA-0450107</t>
  </si>
  <si>
    <t>Headline 2.08 SC</t>
  </si>
  <si>
    <t>Domark 230</t>
  </si>
  <si>
    <t>Contans</t>
  </si>
  <si>
    <t>lb/a</t>
  </si>
  <si>
    <t>At Plant</t>
  </si>
  <si>
    <t>Non-Treated Check</t>
  </si>
  <si>
    <t>TOPSIN-M</t>
  </si>
  <si>
    <t>oz wt/a</t>
  </si>
  <si>
    <t>SA-0450108</t>
  </si>
  <si>
    <t>At-Plant</t>
  </si>
  <si>
    <t>Stratego Yield</t>
  </si>
  <si>
    <t>Non-treated check 1</t>
  </si>
  <si>
    <t>Non-treated check 2</t>
  </si>
  <si>
    <t>R1+R3</t>
  </si>
  <si>
    <t>Year</t>
  </si>
  <si>
    <t xml:space="preserve">Location </t>
  </si>
  <si>
    <t>Treatment Name</t>
  </si>
  <si>
    <t>Application Timing</t>
  </si>
  <si>
    <t>Meta-Analysis Treatment #</t>
  </si>
  <si>
    <t>Original Treatment #</t>
  </si>
  <si>
    <t>Illinois</t>
  </si>
  <si>
    <t>Dekalb</t>
  </si>
  <si>
    <t xml:space="preserve">Illinois </t>
  </si>
  <si>
    <t>Iowa</t>
  </si>
  <si>
    <t>Manilla</t>
  </si>
  <si>
    <t>ADAMA</t>
  </si>
  <si>
    <t>Nashua</t>
  </si>
  <si>
    <t>Michigan</t>
  </si>
  <si>
    <t>Montcalm</t>
  </si>
  <si>
    <t>Wisconsin</t>
  </si>
  <si>
    <t>DS2-4</t>
  </si>
  <si>
    <t>DS9_MANA</t>
  </si>
  <si>
    <t>Trial Name/#</t>
  </si>
  <si>
    <t>Minnesota</t>
  </si>
  <si>
    <t>New Jersey</t>
  </si>
  <si>
    <t>Non-ionic surfactant (NIS)</t>
  </si>
  <si>
    <t>Meta-Analysis Active Ingredient Code</t>
  </si>
  <si>
    <t>Meta-Analysis Timing Code</t>
  </si>
  <si>
    <t>Included in Meta-Analysis</t>
  </si>
  <si>
    <t>A.I. Included in Meta-Analysis</t>
  </si>
  <si>
    <t>Timing Included in Meta-Analysis</t>
  </si>
  <si>
    <t>AdamaBS1</t>
  </si>
  <si>
    <t>U</t>
  </si>
  <si>
    <t>unknown</t>
  </si>
  <si>
    <t>UNKN</t>
  </si>
  <si>
    <t>tetraconazole</t>
  </si>
  <si>
    <t>TETR</t>
  </si>
  <si>
    <t>azoxystrobin</t>
  </si>
  <si>
    <t>AZOX</t>
  </si>
  <si>
    <t>Alto</t>
  </si>
  <si>
    <t>cyproconazole</t>
  </si>
  <si>
    <t>CYPR</t>
  </si>
  <si>
    <t>thiophanate-methyl</t>
  </si>
  <si>
    <t>THIM</t>
  </si>
  <si>
    <t>picoxystrobin</t>
  </si>
  <si>
    <t>PICO</t>
  </si>
  <si>
    <t>fluthiacet-methyl</t>
  </si>
  <si>
    <t>FLUM</t>
  </si>
  <si>
    <t>lactofen</t>
  </si>
  <si>
    <t>LACT</t>
  </si>
  <si>
    <t>Coniothyrium minitans</t>
  </si>
  <si>
    <t>CONT</t>
  </si>
  <si>
    <t>thiamethoxam</t>
  </si>
  <si>
    <t>THIA</t>
  </si>
  <si>
    <t>mefenoxam</t>
  </si>
  <si>
    <t>MEFE</t>
  </si>
  <si>
    <t>fludioxonil</t>
  </si>
  <si>
    <t>FLUD</t>
  </si>
  <si>
    <t xml:space="preserve">Custodia </t>
  </si>
  <si>
    <t>tebuconazole</t>
  </si>
  <si>
    <t>TEBU</t>
  </si>
  <si>
    <t>Echo</t>
  </si>
  <si>
    <t>chlorothalonil</t>
  </si>
  <si>
    <t>CHLO</t>
  </si>
  <si>
    <t>boscalid</t>
  </si>
  <si>
    <t>BOSC</t>
  </si>
  <si>
    <t>fluoxastrobin</t>
  </si>
  <si>
    <t>FLUO</t>
  </si>
  <si>
    <t>flutriafol</t>
  </si>
  <si>
    <t>FLUT</t>
  </si>
  <si>
    <t>pyraclostrobin</t>
  </si>
  <si>
    <t>PYRA</t>
  </si>
  <si>
    <t>Headsup</t>
  </si>
  <si>
    <t>Incognito</t>
  </si>
  <si>
    <t>imidacloprid</t>
  </si>
  <si>
    <t>IMID</t>
  </si>
  <si>
    <t>beta-cyfluthrin</t>
  </si>
  <si>
    <t>BETA</t>
  </si>
  <si>
    <t>Lorsban</t>
  </si>
  <si>
    <t>chlorpyrifos</t>
  </si>
  <si>
    <t>CHLP</t>
  </si>
  <si>
    <t>fluazinam</t>
  </si>
  <si>
    <t>FLUA</t>
  </si>
  <si>
    <t>Orius</t>
  </si>
  <si>
    <t>fluxapyroxad</t>
  </si>
  <si>
    <t>FLUX</t>
  </si>
  <si>
    <t>prothioconazole</t>
  </si>
  <si>
    <t>PROT</t>
  </si>
  <si>
    <t>fluopyram</t>
  </si>
  <si>
    <t>difenoconazole</t>
  </si>
  <si>
    <t>DIFE</t>
  </si>
  <si>
    <t>QuiltXcel</t>
  </si>
  <si>
    <t>propiconazole</t>
  </si>
  <si>
    <t>PROP</t>
  </si>
  <si>
    <t>RegaliaMaxx</t>
  </si>
  <si>
    <t>EXTR</t>
  </si>
  <si>
    <t>Roundup Original Max</t>
  </si>
  <si>
    <t>glyphosate</t>
  </si>
  <si>
    <t>trifloxystrobin</t>
  </si>
  <si>
    <t>TRIF</t>
  </si>
  <si>
    <t>StrategoYLD</t>
  </si>
  <si>
    <t>benzovindiflupyr</t>
  </si>
  <si>
    <t>BENZ</t>
  </si>
  <si>
    <t>pyraflufen ethyl</t>
  </si>
  <si>
    <t>PRYF</t>
  </si>
  <si>
    <t>Zolera</t>
  </si>
  <si>
    <t>####</t>
  </si>
  <si>
    <t>Unknown</t>
  </si>
  <si>
    <t>A.I. Abbreviation</t>
  </si>
  <si>
    <t>Active Ingredient (A.I.)</t>
  </si>
  <si>
    <t xml:space="preserve">Combined A.I. Code </t>
  </si>
  <si>
    <t xml:space="preserve"> Individual A.I. Code</t>
  </si>
  <si>
    <t>GLYP</t>
  </si>
  <si>
    <t>Individual A.I. Code</t>
  </si>
  <si>
    <t>Pesticide Name</t>
  </si>
  <si>
    <r>
      <t xml:space="preserve">extract of </t>
    </r>
    <r>
      <rPr>
        <i/>
        <sz val="11"/>
        <color theme="1"/>
        <rFont val="Arial"/>
        <family val="2"/>
      </rPr>
      <t>Reynoutria sachalinensis</t>
    </r>
  </si>
  <si>
    <t>10d Post R1</t>
  </si>
  <si>
    <t>fluoxastrobin + flutriafol</t>
  </si>
  <si>
    <t>prothioconazole + trifloxystrobin</t>
  </si>
  <si>
    <t>boscalid, fluxapyroxad/pyraclostrobin</t>
  </si>
  <si>
    <t>control</t>
  </si>
  <si>
    <t>Included in Meta-Analysis:</t>
  </si>
  <si>
    <t>FLUO+FLUT</t>
  </si>
  <si>
    <t>PROT+TRIF</t>
  </si>
  <si>
    <t>BOSC+FLUX/PYRA</t>
  </si>
  <si>
    <t>CONTROL</t>
  </si>
  <si>
    <t>Abbreviation</t>
  </si>
  <si>
    <t>Code</t>
  </si>
  <si>
    <t>Timing Code</t>
  </si>
  <si>
    <t>ST/At-Plant</t>
  </si>
  <si>
    <t>+</t>
  </si>
  <si>
    <t>610d</t>
  </si>
  <si>
    <t>AT/At-Plant + R1</t>
  </si>
  <si>
    <t>V4 + R3</t>
  </si>
  <si>
    <t>V5 + R1</t>
  </si>
  <si>
    <t>V5 + R3</t>
  </si>
  <si>
    <t>R1 + R2</t>
  </si>
  <si>
    <t>R1 + R3</t>
  </si>
  <si>
    <t>R2 + R3</t>
  </si>
  <si>
    <t>R3 + R5</t>
  </si>
  <si>
    <t>V5 + R1 + R3 + R5</t>
  </si>
  <si>
    <t>R1 + 10d Post-R1</t>
  </si>
  <si>
    <t>Growth Stage</t>
  </si>
  <si>
    <t>Application Timing (Growth Stage)</t>
  </si>
  <si>
    <t>Individual Timing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</si>
</sst>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1" fillId="0" borderId="0"/>
    <xf numFmtId="0" fontId="5" fillId="0" borderId="0"/>
  </cellStyleXfs>
  <cellXfs count="211">
    <xf numFmtId="0" fontId="0" fillId="0" borderId="0" xfId="0"/>
    <xf numFmtId="0" fontId="2" fillId="0" borderId="0" xfId="0" applyFont="1" applyBorder="1"/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right"/>
    </xf>
    <xf numFmtId="164" fontId="4" fillId="2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right"/>
    </xf>
    <xf numFmtId="2" fontId="4" fillId="2" borderId="0" xfId="0" applyNumberFormat="1" applyFont="1" applyFill="1" applyBorder="1" applyAlignment="1">
      <alignment horizontal="right"/>
    </xf>
    <xf numFmtId="165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165" fontId="6" fillId="2" borderId="0" xfId="1" applyNumberFormat="1" applyFont="1" applyFill="1" applyBorder="1" applyAlignment="1">
      <alignment horizontal="right"/>
    </xf>
    <xf numFmtId="165" fontId="6" fillId="2" borderId="0" xfId="2" applyNumberFormat="1" applyFont="1" applyFill="1" applyBorder="1" applyAlignment="1">
      <alignment horizontal="right"/>
    </xf>
    <xf numFmtId="165" fontId="7" fillId="2" borderId="0" xfId="0" applyNumberFormat="1" applyFont="1" applyFill="1" applyBorder="1" applyAlignment="1">
      <alignment horizontal="right"/>
    </xf>
    <xf numFmtId="164" fontId="7" fillId="2" borderId="0" xfId="0" applyNumberFormat="1" applyFont="1" applyFill="1" applyBorder="1" applyAlignment="1">
      <alignment horizontal="right"/>
    </xf>
    <xf numFmtId="164" fontId="7" fillId="2" borderId="0" xfId="3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0" xfId="0" quotePrefix="1" applyFont="1" applyFill="1" applyBorder="1" applyAlignment="1">
      <alignment horizontal="left"/>
    </xf>
    <xf numFmtId="0" fontId="4" fillId="2" borderId="14" xfId="0" quotePrefix="1" applyFont="1" applyFill="1" applyBorder="1" applyAlignment="1">
      <alignment horizontal="center"/>
    </xf>
    <xf numFmtId="0" fontId="4" fillId="2" borderId="14" xfId="0" quotePrefix="1" applyFont="1" applyFill="1" applyBorder="1" applyAlignment="1">
      <alignment horizontal="left"/>
    </xf>
    <xf numFmtId="0" fontId="4" fillId="2" borderId="8" xfId="0" quotePrefix="1" applyFont="1" applyFill="1" applyBorder="1" applyAlignment="1">
      <alignment horizontal="left"/>
    </xf>
    <xf numFmtId="0" fontId="4" fillId="2" borderId="13" xfId="0" quotePrefix="1" applyFont="1" applyFill="1" applyBorder="1" applyAlignment="1">
      <alignment horizontal="center"/>
    </xf>
    <xf numFmtId="0" fontId="4" fillId="2" borderId="11" xfId="0" quotePrefix="1" applyFont="1" applyFill="1" applyBorder="1" applyAlignment="1">
      <alignment horizontal="left"/>
    </xf>
    <xf numFmtId="0" fontId="4" fillId="2" borderId="16" xfId="0" quotePrefix="1" applyFont="1" applyFill="1" applyBorder="1" applyAlignment="1">
      <alignment horizontal="left"/>
    </xf>
    <xf numFmtId="0" fontId="4" fillId="2" borderId="16" xfId="0" quotePrefix="1" applyFont="1" applyFill="1" applyBorder="1" applyAlignment="1">
      <alignment horizontal="center"/>
    </xf>
    <xf numFmtId="0" fontId="4" fillId="2" borderId="13" xfId="0" quotePrefix="1" applyFont="1" applyFill="1" applyBorder="1" applyAlignment="1">
      <alignment horizontal="left"/>
    </xf>
    <xf numFmtId="2" fontId="4" fillId="2" borderId="14" xfId="0" applyNumberFormat="1" applyFont="1" applyFill="1" applyBorder="1" applyAlignment="1">
      <alignment horizontal="left"/>
    </xf>
    <xf numFmtId="2" fontId="4" fillId="2" borderId="14" xfId="0" applyNumberFormat="1" applyFont="1" applyFill="1" applyBorder="1" applyAlignment="1">
      <alignment horizontal="center"/>
    </xf>
    <xf numFmtId="0" fontId="4" fillId="2" borderId="10" xfId="0" quotePrefix="1" applyFont="1" applyFill="1" applyBorder="1"/>
    <xf numFmtId="0" fontId="4" fillId="2" borderId="10" xfId="0" applyFont="1" applyFill="1" applyBorder="1"/>
    <xf numFmtId="0" fontId="7" fillId="2" borderId="10" xfId="2" applyFont="1" applyFill="1" applyBorder="1" applyAlignment="1">
      <alignment horizontal="left"/>
    </xf>
    <xf numFmtId="0" fontId="7" fillId="2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left" vertical="center" wrapText="1"/>
    </xf>
    <xf numFmtId="0" fontId="7" fillId="2" borderId="14" xfId="0" quotePrefix="1" applyFont="1" applyFill="1" applyBorder="1" applyAlignment="1">
      <alignment horizontal="left"/>
    </xf>
    <xf numFmtId="0" fontId="7" fillId="2" borderId="10" xfId="0" applyFont="1" applyFill="1" applyBorder="1" applyAlignment="1">
      <alignment vertical="center" wrapText="1"/>
    </xf>
    <xf numFmtId="0" fontId="7" fillId="2" borderId="10" xfId="0" applyFont="1" applyFill="1" applyBorder="1"/>
    <xf numFmtId="0" fontId="7" fillId="2" borderId="14" xfId="0" applyFont="1" applyFill="1" applyBorder="1" applyAlignment="1">
      <alignment horizontal="left"/>
    </xf>
    <xf numFmtId="0" fontId="7" fillId="2" borderId="14" xfId="2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0" xfId="0" quotePrefix="1" applyFont="1" applyFill="1" applyBorder="1" applyAlignment="1">
      <alignment horizontal="left"/>
    </xf>
    <xf numFmtId="0" fontId="7" fillId="2" borderId="14" xfId="0" quotePrefix="1" applyFont="1" applyFill="1" applyBorder="1" applyAlignment="1">
      <alignment horizontal="center"/>
    </xf>
    <xf numFmtId="0" fontId="7" fillId="2" borderId="10" xfId="3" applyFont="1" applyFill="1" applyBorder="1" applyAlignment="1">
      <alignment horizontal="left"/>
    </xf>
    <xf numFmtId="0" fontId="7" fillId="2" borderId="14" xfId="3" applyFont="1" applyFill="1" applyBorder="1" applyAlignment="1">
      <alignment horizontal="left"/>
    </xf>
    <xf numFmtId="0" fontId="7" fillId="2" borderId="14" xfId="3" applyFont="1" applyFill="1" applyBorder="1" applyAlignment="1">
      <alignment horizontal="center"/>
    </xf>
    <xf numFmtId="0" fontId="7" fillId="2" borderId="10" xfId="0" applyNumberFormat="1" applyFont="1" applyFill="1" applyBorder="1" applyAlignment="1">
      <alignment horizontal="left"/>
    </xf>
    <xf numFmtId="0" fontId="7" fillId="2" borderId="14" xfId="0" applyNumberFormat="1" applyFont="1" applyFill="1" applyBorder="1" applyAlignment="1">
      <alignment horizontal="left"/>
    </xf>
    <xf numFmtId="0" fontId="7" fillId="2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4" fillId="2" borderId="14" xfId="0" applyFont="1" applyFill="1" applyBorder="1"/>
    <xf numFmtId="0" fontId="7" fillId="2" borderId="10" xfId="4" applyFont="1" applyFill="1" applyBorder="1" applyAlignment="1">
      <alignment horizontal="center"/>
    </xf>
    <xf numFmtId="0" fontId="7" fillId="2" borderId="10" xfId="4" applyFont="1" applyFill="1" applyBorder="1" applyAlignment="1"/>
    <xf numFmtId="0" fontId="7" fillId="2" borderId="14" xfId="4" applyFont="1" applyFill="1" applyBorder="1" applyAlignment="1"/>
    <xf numFmtId="0" fontId="7" fillId="2" borderId="14" xfId="4" applyFont="1" applyFill="1" applyBorder="1" applyAlignment="1">
      <alignment horizontal="center"/>
    </xf>
    <xf numFmtId="0" fontId="4" fillId="2" borderId="14" xfId="0" quotePrefix="1" applyFont="1" applyFill="1" applyBorder="1"/>
    <xf numFmtId="0" fontId="4" fillId="0" borderId="0" xfId="0" applyFont="1"/>
    <xf numFmtId="0" fontId="4" fillId="2" borderId="0" xfId="0" applyFont="1" applyFill="1"/>
    <xf numFmtId="0" fontId="4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2" xfId="0" quotePrefix="1" applyFont="1" applyFill="1" applyBorder="1" applyAlignment="1">
      <alignment horizontal="left"/>
    </xf>
    <xf numFmtId="0" fontId="4" fillId="2" borderId="15" xfId="0" quotePrefix="1" applyFont="1" applyFill="1" applyBorder="1" applyAlignment="1">
      <alignment horizontal="left"/>
    </xf>
    <xf numFmtId="0" fontId="4" fillId="2" borderId="15" xfId="0" quotePrefix="1" applyFont="1" applyFill="1" applyBorder="1" applyAlignment="1">
      <alignment horizontal="center"/>
    </xf>
    <xf numFmtId="0" fontId="3" fillId="2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0" fontId="4" fillId="2" borderId="3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11" xfId="0" applyFont="1" applyFill="1" applyBorder="1"/>
    <xf numFmtId="0" fontId="4" fillId="2" borderId="11" xfId="0" quotePrefix="1" applyFont="1" applyFill="1" applyBorder="1"/>
    <xf numFmtId="0" fontId="6" fillId="2" borderId="8" xfId="2" applyFont="1" applyFill="1" applyBorder="1" applyAlignment="1">
      <alignment horizontal="left"/>
    </xf>
    <xf numFmtId="0" fontId="6" fillId="2" borderId="11" xfId="2" applyFont="1" applyFill="1" applyBorder="1" applyAlignment="1">
      <alignment horizontal="left"/>
    </xf>
    <xf numFmtId="0" fontId="7" fillId="2" borderId="8" xfId="2" applyFont="1" applyFill="1" applyBorder="1" applyAlignment="1">
      <alignment horizontal="left"/>
    </xf>
    <xf numFmtId="0" fontId="7" fillId="2" borderId="11" xfId="2" applyFont="1" applyFill="1" applyBorder="1" applyAlignment="1">
      <alignment horizontal="left"/>
    </xf>
    <xf numFmtId="165" fontId="6" fillId="2" borderId="2" xfId="2" applyNumberFormat="1" applyFont="1" applyFill="1" applyBorder="1" applyAlignment="1">
      <alignment horizontal="right"/>
    </xf>
    <xf numFmtId="165" fontId="6" fillId="2" borderId="3" xfId="2" applyNumberFormat="1" applyFont="1" applyFill="1" applyBorder="1" applyAlignment="1">
      <alignment horizontal="right"/>
    </xf>
    <xf numFmtId="0" fontId="7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left" vertical="center" wrapText="1"/>
    </xf>
    <xf numFmtId="165" fontId="7" fillId="2" borderId="2" xfId="0" applyNumberFormat="1" applyFont="1" applyFill="1" applyBorder="1" applyAlignment="1">
      <alignment horizontal="right"/>
    </xf>
    <xf numFmtId="0" fontId="7" fillId="2" borderId="13" xfId="0" quotePrefix="1" applyFont="1" applyFill="1" applyBorder="1" applyAlignment="1">
      <alignment horizontal="left"/>
    </xf>
    <xf numFmtId="0" fontId="7" fillId="2" borderId="11" xfId="0" applyFont="1" applyFill="1" applyBorder="1" applyAlignment="1">
      <alignment horizontal="center"/>
    </xf>
    <xf numFmtId="0" fontId="7" fillId="2" borderId="11" xfId="0" applyFont="1" applyFill="1" applyBorder="1" applyAlignment="1">
      <alignment vertical="center" wrapText="1"/>
    </xf>
    <xf numFmtId="165" fontId="7" fillId="2" borderId="3" xfId="0" applyNumberFormat="1" applyFont="1" applyFill="1" applyBorder="1" applyAlignment="1">
      <alignment horizontal="right"/>
    </xf>
    <xf numFmtId="0" fontId="7" fillId="2" borderId="16" xfId="0" quotePrefix="1" applyFont="1" applyFill="1" applyBorder="1" applyAlignment="1">
      <alignment horizontal="left"/>
    </xf>
    <xf numFmtId="0" fontId="7" fillId="2" borderId="11" xfId="0" applyFont="1" applyFill="1" applyBorder="1"/>
    <xf numFmtId="0" fontId="7" fillId="2" borderId="16" xfId="0" applyFont="1" applyFill="1" applyBorder="1" applyAlignment="1">
      <alignment horizontal="left"/>
    </xf>
    <xf numFmtId="0" fontId="7" fillId="2" borderId="13" xfId="2" applyFont="1" applyFill="1" applyBorder="1" applyAlignment="1">
      <alignment horizontal="left"/>
    </xf>
    <xf numFmtId="0" fontId="0" fillId="2" borderId="10" xfId="0" applyFont="1" applyFill="1" applyBorder="1" applyAlignment="1">
      <alignment horizontal="center"/>
    </xf>
    <xf numFmtId="0" fontId="0" fillId="2" borderId="10" xfId="0" applyFont="1" applyFill="1" applyBorder="1"/>
    <xf numFmtId="0" fontId="0" fillId="2" borderId="12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right"/>
    </xf>
    <xf numFmtId="0" fontId="4" fillId="2" borderId="19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right"/>
    </xf>
    <xf numFmtId="0" fontId="4" fillId="2" borderId="21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0" fillId="2" borderId="19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2" xfId="0" quotePrefix="1" applyFont="1" applyFill="1" applyBorder="1" applyAlignment="1">
      <alignment horizontal="left"/>
    </xf>
    <xf numFmtId="2" fontId="4" fillId="2" borderId="15" xfId="0" applyNumberFormat="1" applyFont="1" applyFill="1" applyBorder="1" applyAlignment="1">
      <alignment horizontal="left"/>
    </xf>
    <xf numFmtId="2" fontId="4" fillId="2" borderId="15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20" xfId="0" applyFont="1" applyFill="1" applyBorder="1" applyAlignment="1">
      <alignment wrapText="1"/>
    </xf>
    <xf numFmtId="0" fontId="3" fillId="2" borderId="20" xfId="0" applyFont="1" applyFill="1" applyBorder="1" applyAlignment="1">
      <alignment horizontal="left" wrapText="1"/>
    </xf>
    <xf numFmtId="0" fontId="3" fillId="2" borderId="20" xfId="0" applyFont="1" applyFill="1" applyBorder="1" applyAlignment="1">
      <alignment horizont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4" fillId="2" borderId="20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7" fillId="2" borderId="8" xfId="0" quotePrefix="1" applyFont="1" applyFill="1" applyBorder="1" applyAlignment="1">
      <alignment horizontal="left"/>
    </xf>
    <xf numFmtId="164" fontId="7" fillId="2" borderId="2" xfId="0" applyNumberFormat="1" applyFont="1" applyFill="1" applyBorder="1" applyAlignment="1">
      <alignment horizontal="right"/>
    </xf>
    <xf numFmtId="0" fontId="7" fillId="2" borderId="13" xfId="0" quotePrefix="1" applyFon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right"/>
    </xf>
    <xf numFmtId="0" fontId="7" fillId="2" borderId="16" xfId="0" quotePrefix="1" applyFont="1" applyFill="1" applyBorder="1" applyAlignment="1">
      <alignment horizontal="center"/>
    </xf>
    <xf numFmtId="0" fontId="7" fillId="2" borderId="12" xfId="3" applyFont="1" applyFill="1" applyBorder="1" applyAlignment="1">
      <alignment horizontal="left"/>
    </xf>
    <xf numFmtId="164" fontId="7" fillId="2" borderId="1" xfId="3" applyNumberFormat="1" applyFont="1" applyFill="1" applyBorder="1" applyAlignment="1">
      <alignment horizontal="right"/>
    </xf>
    <xf numFmtId="0" fontId="7" fillId="2" borderId="15" xfId="3" applyFont="1" applyFill="1" applyBorder="1" applyAlignment="1">
      <alignment horizontal="left"/>
    </xf>
    <xf numFmtId="0" fontId="7" fillId="2" borderId="15" xfId="3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right"/>
    </xf>
    <xf numFmtId="0" fontId="7" fillId="2" borderId="15" xfId="0" quotePrefix="1" applyFont="1" applyFill="1" applyBorder="1" applyAlignment="1">
      <alignment horizontal="left"/>
    </xf>
    <xf numFmtId="0" fontId="7" fillId="2" borderId="15" xfId="0" quotePrefix="1" applyFont="1" applyFill="1" applyBorder="1" applyAlignment="1">
      <alignment horizontal="center"/>
    </xf>
    <xf numFmtId="0" fontId="7" fillId="2" borderId="12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4" fillId="2" borderId="12" xfId="0" applyFont="1" applyFill="1" applyBorder="1"/>
    <xf numFmtId="0" fontId="4" fillId="2" borderId="8" xfId="0" applyFont="1" applyFill="1" applyBorder="1"/>
    <xf numFmtId="0" fontId="7" fillId="2" borderId="13" xfId="0" applyFont="1" applyFill="1" applyBorder="1" applyAlignment="1">
      <alignment horizontal="left"/>
    </xf>
    <xf numFmtId="1" fontId="4" fillId="2" borderId="4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164" fontId="4" fillId="2" borderId="18" xfId="0" applyNumberFormat="1" applyFont="1" applyFill="1" applyBorder="1" applyAlignment="1">
      <alignment horizontal="right"/>
    </xf>
    <xf numFmtId="0" fontId="4" fillId="2" borderId="18" xfId="0" applyFont="1" applyFill="1" applyBorder="1"/>
    <xf numFmtId="0" fontId="4" fillId="2" borderId="18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4" fillId="2" borderId="20" xfId="0" applyFont="1" applyFill="1" applyBorder="1"/>
    <xf numFmtId="0" fontId="4" fillId="2" borderId="6" xfId="0" applyFont="1" applyFill="1" applyBorder="1" applyAlignment="1">
      <alignment horizontal="right"/>
    </xf>
    <xf numFmtId="1" fontId="4" fillId="2" borderId="0" xfId="0" applyNumberFormat="1" applyFont="1" applyFill="1" applyBorder="1" applyAlignment="1">
      <alignment horizontal="right"/>
    </xf>
    <xf numFmtId="0" fontId="7" fillId="2" borderId="0" xfId="4" applyFont="1" applyFill="1" applyBorder="1" applyAlignment="1">
      <alignment horizontal="right"/>
    </xf>
    <xf numFmtId="2" fontId="4" fillId="2" borderId="3" xfId="0" applyNumberFormat="1" applyFont="1" applyFill="1" applyBorder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0" fontId="7" fillId="2" borderId="12" xfId="4" applyFont="1" applyFill="1" applyBorder="1" applyAlignment="1">
      <alignment horizontal="center"/>
    </xf>
    <xf numFmtId="0" fontId="7" fillId="2" borderId="12" xfId="4" applyFont="1" applyFill="1" applyBorder="1" applyAlignment="1"/>
    <xf numFmtId="0" fontId="7" fillId="2" borderId="1" xfId="4" applyFont="1" applyFill="1" applyBorder="1" applyAlignment="1">
      <alignment horizontal="right"/>
    </xf>
    <xf numFmtId="0" fontId="7" fillId="2" borderId="15" xfId="4" applyFont="1" applyFill="1" applyBorder="1" applyAlignment="1"/>
    <xf numFmtId="0" fontId="7" fillId="2" borderId="15" xfId="4" applyFont="1" applyFill="1" applyBorder="1" applyAlignment="1">
      <alignment horizontal="center"/>
    </xf>
    <xf numFmtId="0" fontId="7" fillId="2" borderId="8" xfId="4" applyFont="1" applyFill="1" applyBorder="1" applyAlignment="1">
      <alignment horizontal="center"/>
    </xf>
    <xf numFmtId="0" fontId="7" fillId="2" borderId="8" xfId="4" applyFont="1" applyFill="1" applyBorder="1" applyAlignment="1"/>
    <xf numFmtId="0" fontId="7" fillId="2" borderId="2" xfId="4" applyFont="1" applyFill="1" applyBorder="1" applyAlignment="1">
      <alignment horizontal="right"/>
    </xf>
    <xf numFmtId="0" fontId="7" fillId="2" borderId="13" xfId="4" applyFont="1" applyFill="1" applyBorder="1" applyAlignment="1"/>
    <xf numFmtId="0" fontId="7" fillId="2" borderId="13" xfId="4" applyFont="1" applyFill="1" applyBorder="1" applyAlignment="1">
      <alignment horizontal="center"/>
    </xf>
    <xf numFmtId="0" fontId="7" fillId="2" borderId="11" xfId="4" applyFont="1" applyFill="1" applyBorder="1" applyAlignment="1">
      <alignment horizontal="center"/>
    </xf>
    <xf numFmtId="0" fontId="7" fillId="2" borderId="11" xfId="4" applyFont="1" applyFill="1" applyBorder="1" applyAlignment="1"/>
    <xf numFmtId="0" fontId="7" fillId="2" borderId="3" xfId="4" applyFont="1" applyFill="1" applyBorder="1" applyAlignment="1">
      <alignment horizontal="right"/>
    </xf>
    <xf numFmtId="0" fontId="7" fillId="2" borderId="16" xfId="4" applyFont="1" applyFill="1" applyBorder="1" applyAlignment="1"/>
    <xf numFmtId="0" fontId="7" fillId="2" borderId="16" xfId="4" applyFont="1" applyFill="1" applyBorder="1" applyAlignment="1">
      <alignment horizontal="center"/>
    </xf>
    <xf numFmtId="0" fontId="4" fillId="2" borderId="15" xfId="0" applyFont="1" applyFill="1" applyBorder="1"/>
    <xf numFmtId="0" fontId="4" fillId="2" borderId="8" xfId="0" quotePrefix="1" applyFont="1" applyFill="1" applyBorder="1"/>
    <xf numFmtId="0" fontId="4" fillId="2" borderId="13" xfId="0" quotePrefix="1" applyFont="1" applyFill="1" applyBorder="1"/>
    <xf numFmtId="0" fontId="4" fillId="2" borderId="16" xfId="0" quotePrefix="1" applyFont="1" applyFill="1" applyBorder="1"/>
    <xf numFmtId="0" fontId="4" fillId="2" borderId="12" xfId="0" quotePrefix="1" applyFont="1" applyFill="1" applyBorder="1"/>
    <xf numFmtId="0" fontId="4" fillId="2" borderId="15" xfId="0" quotePrefix="1" applyFont="1" applyFill="1" applyBorder="1"/>
    <xf numFmtId="0" fontId="4" fillId="2" borderId="13" xfId="0" applyFont="1" applyFill="1" applyBorder="1"/>
    <xf numFmtId="0" fontId="4" fillId="2" borderId="16" xfId="0" applyFont="1" applyFill="1" applyBorder="1"/>
    <xf numFmtId="0" fontId="4" fillId="2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20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vertical="center" wrapText="1"/>
    </xf>
  </cellXfs>
  <cellStyles count="5">
    <cellStyle name="Normal" xfId="0" builtinId="0"/>
    <cellStyle name="Normal 16 2" xfId="3"/>
    <cellStyle name="Normal 3" xfId="1"/>
    <cellStyle name="Normal 4" xfId="2"/>
    <cellStyle name="Normal_9942map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808%20Final%20Meta-Analyses/2009-16%20Full%20Dataset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ata"/>
      <sheetName val="Treatment Master List"/>
      <sheetName val="ABC Master Lists"/>
      <sheetName val="Illinois"/>
      <sheetName val="Iowa"/>
      <sheetName val="Michigan"/>
      <sheetName val="Wisconsin"/>
    </sheetNames>
    <sheetDataSet>
      <sheetData sheetId="0" refreshError="1"/>
      <sheetData sheetId="1" refreshError="1"/>
      <sheetData sheetId="2">
        <row r="2">
          <cell r="B2">
            <v>1</v>
          </cell>
          <cell r="C2" t="str">
            <v>Non-treated</v>
          </cell>
          <cell r="D2" t="str">
            <v>.</v>
          </cell>
          <cell r="E2" t="str">
            <v>.</v>
          </cell>
          <cell r="F2" t="str">
            <v>.</v>
          </cell>
          <cell r="G2" t="str">
            <v>.</v>
          </cell>
          <cell r="H2" t="str">
            <v>.</v>
          </cell>
          <cell r="I2" t="str">
            <v>.</v>
          </cell>
          <cell r="AD2" t="str">
            <v>.</v>
          </cell>
          <cell r="AE2" t="str">
            <v>+</v>
          </cell>
          <cell r="AQ2">
            <v>4</v>
          </cell>
          <cell r="AR2">
            <v>1</v>
          </cell>
          <cell r="AS2" t="str">
            <v>+</v>
          </cell>
        </row>
        <row r="3">
          <cell r="B3">
            <v>2</v>
          </cell>
          <cell r="C3" t="str">
            <v>Non-treated, Non-inoculated</v>
          </cell>
          <cell r="D3" t="str">
            <v>.</v>
          </cell>
          <cell r="E3" t="str">
            <v>.</v>
          </cell>
          <cell r="F3" t="str">
            <v>.</v>
          </cell>
          <cell r="G3" t="str">
            <v>.</v>
          </cell>
          <cell r="H3" t="str">
            <v>.</v>
          </cell>
          <cell r="I3" t="str">
            <v>.</v>
          </cell>
          <cell r="AD3">
            <v>6</v>
          </cell>
          <cell r="AE3" t="str">
            <v>+</v>
          </cell>
          <cell r="AQ3">
            <v>11</v>
          </cell>
          <cell r="AR3">
            <v>2</v>
          </cell>
          <cell r="AS3" t="str">
            <v>+</v>
          </cell>
        </row>
        <row r="4">
          <cell r="B4">
            <v>3</v>
          </cell>
          <cell r="C4" t="str">
            <v>A19649</v>
          </cell>
          <cell r="D4" t="str">
            <v>NA</v>
          </cell>
          <cell r="E4" t="str">
            <v>U</v>
          </cell>
          <cell r="F4">
            <v>13.7</v>
          </cell>
          <cell r="G4" t="str">
            <v>fl oz/A</v>
          </cell>
          <cell r="H4" t="str">
            <v>R1</v>
          </cell>
          <cell r="I4">
            <v>6</v>
          </cell>
          <cell r="AD4">
            <v>5</v>
          </cell>
          <cell r="AE4" t="str">
            <v>+</v>
          </cell>
          <cell r="AQ4">
            <v>1415</v>
          </cell>
          <cell r="AR4">
            <v>3</v>
          </cell>
          <cell r="AS4" t="str">
            <v>+</v>
          </cell>
        </row>
        <row r="5">
          <cell r="B5">
            <v>4</v>
          </cell>
          <cell r="C5" t="str">
            <v>A19649</v>
          </cell>
          <cell r="D5" t="str">
            <v>NA</v>
          </cell>
          <cell r="E5" t="str">
            <v>U</v>
          </cell>
          <cell r="F5">
            <v>13.7</v>
          </cell>
          <cell r="G5" t="str">
            <v>fl oz/A</v>
          </cell>
          <cell r="H5" t="str">
            <v>R1</v>
          </cell>
          <cell r="I5">
            <v>6</v>
          </cell>
          <cell r="AD5">
            <v>7</v>
          </cell>
          <cell r="AE5" t="str">
            <v>+</v>
          </cell>
          <cell r="AQ5">
            <v>18</v>
          </cell>
          <cell r="AR5">
            <v>4</v>
          </cell>
          <cell r="AS5" t="str">
            <v>+</v>
          </cell>
        </row>
        <row r="6">
          <cell r="C6" t="str">
            <v>A21461</v>
          </cell>
          <cell r="F6">
            <v>13.7</v>
          </cell>
          <cell r="G6" t="str">
            <v>fl oz/A</v>
          </cell>
          <cell r="H6" t="str">
            <v>R1</v>
          </cell>
          <cell r="AD6">
            <v>8</v>
          </cell>
          <cell r="AE6" t="str">
            <v>+</v>
          </cell>
          <cell r="AQ6">
            <v>20</v>
          </cell>
          <cell r="AR6">
            <v>5</v>
          </cell>
          <cell r="AS6" t="str">
            <v>+</v>
          </cell>
        </row>
        <row r="7">
          <cell r="B7">
            <v>5</v>
          </cell>
          <cell r="C7" t="str">
            <v>A21461</v>
          </cell>
          <cell r="D7" t="str">
            <v>NA</v>
          </cell>
          <cell r="E7" t="str">
            <v>U</v>
          </cell>
          <cell r="F7">
            <v>13.7</v>
          </cell>
          <cell r="G7" t="str">
            <v>fl oz/A</v>
          </cell>
          <cell r="H7" t="str">
            <v>R1</v>
          </cell>
          <cell r="I7">
            <v>68</v>
          </cell>
          <cell r="AD7">
            <v>9</v>
          </cell>
          <cell r="AQ7">
            <v>22</v>
          </cell>
          <cell r="AR7">
            <v>6</v>
          </cell>
          <cell r="AS7" t="str">
            <v>+</v>
          </cell>
        </row>
        <row r="8">
          <cell r="C8" t="str">
            <v>A21461</v>
          </cell>
          <cell r="F8">
            <v>13.7</v>
          </cell>
          <cell r="G8" t="str">
            <v>fl oz/A</v>
          </cell>
          <cell r="H8" t="str">
            <v>R3</v>
          </cell>
          <cell r="AD8">
            <v>10</v>
          </cell>
          <cell r="AE8" t="str">
            <v>+</v>
          </cell>
          <cell r="AQ8">
            <v>2229</v>
          </cell>
          <cell r="AR8">
            <v>7</v>
          </cell>
          <cell r="AS8" t="str">
            <v>+</v>
          </cell>
        </row>
        <row r="9">
          <cell r="B9">
            <v>6</v>
          </cell>
          <cell r="C9" t="str">
            <v>ADAMA BS1</v>
          </cell>
          <cell r="D9" t="str">
            <v>NA</v>
          </cell>
          <cell r="E9" t="str">
            <v>U</v>
          </cell>
          <cell r="F9">
            <v>6.8</v>
          </cell>
          <cell r="G9" t="str">
            <v>fl oz/A</v>
          </cell>
          <cell r="H9" t="str">
            <v>R1</v>
          </cell>
          <cell r="I9">
            <v>6</v>
          </cell>
          <cell r="AD9">
            <v>78</v>
          </cell>
          <cell r="AQ9">
            <v>26</v>
          </cell>
          <cell r="AR9">
            <v>8</v>
          </cell>
          <cell r="AS9" t="str">
            <v>+</v>
          </cell>
        </row>
        <row r="10">
          <cell r="B10">
            <v>7</v>
          </cell>
          <cell r="C10" t="str">
            <v>Affiance</v>
          </cell>
          <cell r="D10">
            <v>311</v>
          </cell>
          <cell r="E10">
            <v>261</v>
          </cell>
          <cell r="F10">
            <v>10</v>
          </cell>
          <cell r="G10" t="str">
            <v>fl oz/A</v>
          </cell>
          <cell r="H10" t="str">
            <v>R1</v>
          </cell>
          <cell r="I10">
            <v>6</v>
          </cell>
          <cell r="AD10">
            <v>56</v>
          </cell>
          <cell r="AQ10">
            <v>28</v>
          </cell>
          <cell r="AR10">
            <v>9</v>
          </cell>
          <cell r="AS10" t="str">
            <v>+</v>
          </cell>
        </row>
        <row r="11">
          <cell r="B11">
            <v>8</v>
          </cell>
          <cell r="C11" t="str">
            <v>Alto 100 SL</v>
          </cell>
          <cell r="D11">
            <v>3</v>
          </cell>
          <cell r="E11">
            <v>8</v>
          </cell>
          <cell r="F11">
            <v>4</v>
          </cell>
          <cell r="G11" t="str">
            <v>fl oz/A</v>
          </cell>
          <cell r="H11" t="str">
            <v>R1</v>
          </cell>
          <cell r="I11">
            <v>6</v>
          </cell>
          <cell r="AD11">
            <v>58</v>
          </cell>
          <cell r="AQ11">
            <v>41624</v>
          </cell>
          <cell r="AS11" t="str">
            <v>+</v>
          </cell>
        </row>
        <row r="12">
          <cell r="B12">
            <v>9</v>
          </cell>
          <cell r="C12" t="str">
            <v>Andiamo</v>
          </cell>
          <cell r="D12">
            <v>3</v>
          </cell>
          <cell r="E12">
            <v>26</v>
          </cell>
          <cell r="F12">
            <v>5</v>
          </cell>
          <cell r="G12" t="str">
            <v>fl oz/a</v>
          </cell>
          <cell r="H12" t="str">
            <v>R1</v>
          </cell>
          <cell r="I12">
            <v>6</v>
          </cell>
          <cell r="AD12">
            <v>56810</v>
          </cell>
          <cell r="AQ12" t="str">
            <v>.</v>
          </cell>
          <cell r="AR12" t="str">
            <v>.</v>
          </cell>
          <cell r="AS12" t="str">
            <v>+</v>
          </cell>
        </row>
        <row r="13">
          <cell r="B13">
            <v>10</v>
          </cell>
          <cell r="C13" t="str">
            <v>Andiamo</v>
          </cell>
          <cell r="D13">
            <v>3</v>
          </cell>
          <cell r="E13">
            <v>26</v>
          </cell>
          <cell r="F13">
            <v>6</v>
          </cell>
          <cell r="G13" t="str">
            <v>fl oz/a</v>
          </cell>
          <cell r="H13" t="str">
            <v>R1</v>
          </cell>
          <cell r="I13">
            <v>6</v>
          </cell>
          <cell r="AD13">
            <v>3</v>
          </cell>
        </row>
        <row r="14">
          <cell r="B14">
            <v>11</v>
          </cell>
          <cell r="C14" t="str">
            <v>Andiamo Duo</v>
          </cell>
          <cell r="D14">
            <v>13</v>
          </cell>
          <cell r="E14">
            <v>2826</v>
          </cell>
          <cell r="F14">
            <v>23</v>
          </cell>
          <cell r="G14" t="str">
            <v>fl oz/a</v>
          </cell>
          <cell r="H14" t="str">
            <v>R1</v>
          </cell>
          <cell r="I14">
            <v>6</v>
          </cell>
          <cell r="AD14">
            <v>4</v>
          </cell>
        </row>
        <row r="15">
          <cell r="B15">
            <v>12</v>
          </cell>
          <cell r="C15" t="str">
            <v>A21461</v>
          </cell>
          <cell r="D15" t="str">
            <v>NA</v>
          </cell>
          <cell r="E15" t="str">
            <v>U</v>
          </cell>
          <cell r="F15">
            <v>13.7</v>
          </cell>
          <cell r="G15" t="str">
            <v>fl oz/A</v>
          </cell>
          <cell r="H15" t="str">
            <v>R1</v>
          </cell>
          <cell r="I15">
            <v>6</v>
          </cell>
          <cell r="AD15" t="str">
            <v>610d</v>
          </cell>
        </row>
        <row r="16">
          <cell r="B16">
            <v>13</v>
          </cell>
          <cell r="C16" t="str">
            <v>Aproach</v>
          </cell>
          <cell r="D16">
            <v>11</v>
          </cell>
          <cell r="E16">
            <v>20</v>
          </cell>
          <cell r="F16">
            <v>6</v>
          </cell>
          <cell r="G16" t="str">
            <v>fl oz/a</v>
          </cell>
          <cell r="H16" t="str">
            <v>R1</v>
          </cell>
          <cell r="I16">
            <v>68</v>
          </cell>
          <cell r="AD16">
            <v>67</v>
          </cell>
          <cell r="AE16" t="str">
            <v>+</v>
          </cell>
        </row>
        <row r="17">
          <cell r="C17" t="str">
            <v>Aproach</v>
          </cell>
          <cell r="F17">
            <v>6</v>
          </cell>
          <cell r="G17" t="str">
            <v>fl oz/a</v>
          </cell>
          <cell r="H17" t="str">
            <v>R3</v>
          </cell>
          <cell r="AD17">
            <v>68</v>
          </cell>
          <cell r="AE17" t="str">
            <v>+</v>
          </cell>
        </row>
        <row r="18">
          <cell r="B18">
            <v>14</v>
          </cell>
          <cell r="C18" t="str">
            <v>Aproach</v>
          </cell>
          <cell r="D18">
            <v>11</v>
          </cell>
          <cell r="E18">
            <v>20</v>
          </cell>
          <cell r="F18">
            <v>8</v>
          </cell>
          <cell r="G18" t="str">
            <v>fl oz/A</v>
          </cell>
          <cell r="H18" t="str">
            <v>R1</v>
          </cell>
          <cell r="I18">
            <v>6</v>
          </cell>
          <cell r="AD18">
            <v>48</v>
          </cell>
        </row>
        <row r="19">
          <cell r="B19">
            <v>15</v>
          </cell>
          <cell r="C19" t="str">
            <v>Aproach</v>
          </cell>
          <cell r="D19">
            <v>11</v>
          </cell>
          <cell r="E19">
            <v>20</v>
          </cell>
          <cell r="F19">
            <v>8</v>
          </cell>
          <cell r="G19" t="str">
            <v>fl oz/A</v>
          </cell>
          <cell r="H19" t="str">
            <v>R1</v>
          </cell>
          <cell r="I19">
            <v>68</v>
          </cell>
          <cell r="AD19">
            <v>16</v>
          </cell>
        </row>
        <row r="20">
          <cell r="C20" t="str">
            <v>Aproach</v>
          </cell>
          <cell r="F20">
            <v>8</v>
          </cell>
          <cell r="G20" t="str">
            <v>fl oz/A</v>
          </cell>
          <cell r="H20" t="str">
            <v>R3</v>
          </cell>
          <cell r="AD20">
            <v>1</v>
          </cell>
        </row>
        <row r="21">
          <cell r="B21">
            <v>16</v>
          </cell>
          <cell r="C21" t="str">
            <v>Aproach</v>
          </cell>
          <cell r="D21">
            <v>11</v>
          </cell>
          <cell r="E21">
            <v>20</v>
          </cell>
          <cell r="F21">
            <v>9</v>
          </cell>
          <cell r="G21" t="str">
            <v>fl oz/A</v>
          </cell>
          <cell r="H21" t="str">
            <v>V5</v>
          </cell>
          <cell r="I21">
            <v>5</v>
          </cell>
          <cell r="AD21">
            <v>810</v>
          </cell>
        </row>
        <row r="22">
          <cell r="B22">
            <v>17</v>
          </cell>
          <cell r="C22" t="str">
            <v>Aproach</v>
          </cell>
          <cell r="D22">
            <v>11</v>
          </cell>
          <cell r="E22">
            <v>20</v>
          </cell>
          <cell r="F22">
            <v>9</v>
          </cell>
          <cell r="G22" t="str">
            <v>fl oz/A</v>
          </cell>
          <cell r="H22" t="str">
            <v>R1</v>
          </cell>
          <cell r="I22">
            <v>6</v>
          </cell>
          <cell r="AD22">
            <v>2</v>
          </cell>
        </row>
        <row r="23">
          <cell r="B23">
            <v>18</v>
          </cell>
          <cell r="C23" t="str">
            <v>Aproach</v>
          </cell>
          <cell r="D23">
            <v>11</v>
          </cell>
          <cell r="E23">
            <v>20</v>
          </cell>
          <cell r="F23">
            <v>9</v>
          </cell>
          <cell r="G23" t="str">
            <v>fl oz/A</v>
          </cell>
          <cell r="H23" t="str">
            <v>R2</v>
          </cell>
          <cell r="I23">
            <v>7</v>
          </cell>
        </row>
        <row r="24">
          <cell r="B24">
            <v>19</v>
          </cell>
          <cell r="C24" t="str">
            <v>Aproach</v>
          </cell>
          <cell r="D24">
            <v>11</v>
          </cell>
          <cell r="E24">
            <v>20</v>
          </cell>
          <cell r="F24">
            <v>9</v>
          </cell>
          <cell r="G24" t="str">
            <v>fl oz/A</v>
          </cell>
          <cell r="H24" t="str">
            <v>R3</v>
          </cell>
          <cell r="I24">
            <v>8</v>
          </cell>
        </row>
        <row r="25">
          <cell r="B25">
            <v>20</v>
          </cell>
          <cell r="C25" t="str">
            <v>Aproach</v>
          </cell>
          <cell r="D25">
            <v>11</v>
          </cell>
          <cell r="E25">
            <v>20</v>
          </cell>
          <cell r="F25">
            <v>9</v>
          </cell>
          <cell r="G25" t="str">
            <v>fl oz/A</v>
          </cell>
          <cell r="H25" t="str">
            <v>R4</v>
          </cell>
          <cell r="I25">
            <v>9</v>
          </cell>
        </row>
        <row r="26">
          <cell r="B26">
            <v>21</v>
          </cell>
          <cell r="C26" t="str">
            <v>Aproach</v>
          </cell>
          <cell r="D26">
            <v>11</v>
          </cell>
          <cell r="E26">
            <v>20</v>
          </cell>
          <cell r="F26">
            <v>9</v>
          </cell>
          <cell r="G26" t="str">
            <v>fl oz/A</v>
          </cell>
          <cell r="H26" t="str">
            <v>R5</v>
          </cell>
          <cell r="I26">
            <v>10</v>
          </cell>
        </row>
        <row r="27">
          <cell r="B27">
            <v>22</v>
          </cell>
          <cell r="C27" t="str">
            <v>Aproach</v>
          </cell>
          <cell r="D27">
            <v>11</v>
          </cell>
          <cell r="E27">
            <v>20</v>
          </cell>
          <cell r="F27">
            <v>9</v>
          </cell>
          <cell r="G27" t="str">
            <v>fl oz/A</v>
          </cell>
          <cell r="H27" t="str">
            <v>R1</v>
          </cell>
          <cell r="I27">
            <v>67</v>
          </cell>
        </row>
        <row r="28">
          <cell r="C28" t="str">
            <v>Aproach</v>
          </cell>
          <cell r="F28">
            <v>9</v>
          </cell>
          <cell r="G28" t="str">
            <v>fl oz/A</v>
          </cell>
          <cell r="H28" t="str">
            <v>R2</v>
          </cell>
        </row>
        <row r="29">
          <cell r="B29">
            <v>23</v>
          </cell>
          <cell r="C29" t="str">
            <v>Aproach</v>
          </cell>
          <cell r="D29">
            <v>11</v>
          </cell>
          <cell r="E29">
            <v>20</v>
          </cell>
          <cell r="F29">
            <v>9</v>
          </cell>
          <cell r="G29" t="str">
            <v>fl oz/A</v>
          </cell>
          <cell r="H29" t="str">
            <v>R1</v>
          </cell>
          <cell r="I29">
            <v>68</v>
          </cell>
        </row>
        <row r="30">
          <cell r="C30" t="str">
            <v>Aproach</v>
          </cell>
          <cell r="F30">
            <v>9</v>
          </cell>
          <cell r="G30" t="str">
            <v>fl oz/A</v>
          </cell>
          <cell r="H30" t="str">
            <v>R3</v>
          </cell>
        </row>
        <row r="31">
          <cell r="B31">
            <v>24</v>
          </cell>
          <cell r="C31" t="str">
            <v>Aproach</v>
          </cell>
          <cell r="D31">
            <v>11</v>
          </cell>
          <cell r="E31">
            <v>20</v>
          </cell>
          <cell r="F31">
            <v>9</v>
          </cell>
          <cell r="G31" t="str">
            <v>fl oz/A</v>
          </cell>
          <cell r="H31" t="str">
            <v>R2</v>
          </cell>
          <cell r="I31">
            <v>78</v>
          </cell>
        </row>
        <row r="32">
          <cell r="C32" t="str">
            <v>Aproach</v>
          </cell>
          <cell r="F32">
            <v>9</v>
          </cell>
          <cell r="G32" t="str">
            <v>fl oz/A</v>
          </cell>
          <cell r="H32" t="str">
            <v>R3</v>
          </cell>
        </row>
        <row r="33">
          <cell r="B33">
            <v>25</v>
          </cell>
          <cell r="C33" t="str">
            <v>Aproach</v>
          </cell>
          <cell r="D33">
            <v>11</v>
          </cell>
          <cell r="E33">
            <v>20</v>
          </cell>
          <cell r="F33">
            <v>11.2</v>
          </cell>
          <cell r="G33" t="str">
            <v>fl oz/A</v>
          </cell>
          <cell r="H33" t="str">
            <v>R1</v>
          </cell>
          <cell r="I33">
            <v>68</v>
          </cell>
        </row>
        <row r="34">
          <cell r="C34" t="str">
            <v>Aproach</v>
          </cell>
          <cell r="F34">
            <v>11.2</v>
          </cell>
          <cell r="G34" t="str">
            <v>fl oz/A</v>
          </cell>
          <cell r="H34" t="str">
            <v>R3</v>
          </cell>
        </row>
        <row r="35">
          <cell r="B35">
            <v>26</v>
          </cell>
          <cell r="C35" t="str">
            <v>Aproach</v>
          </cell>
          <cell r="D35">
            <v>11</v>
          </cell>
          <cell r="E35">
            <v>20</v>
          </cell>
          <cell r="F35">
            <v>12</v>
          </cell>
          <cell r="G35" t="str">
            <v>fl oz/A</v>
          </cell>
          <cell r="H35" t="str">
            <v>R1</v>
          </cell>
          <cell r="I35">
            <v>68</v>
          </cell>
        </row>
        <row r="36">
          <cell r="C36" t="str">
            <v>Aproach</v>
          </cell>
          <cell r="F36">
            <v>12</v>
          </cell>
          <cell r="G36" t="str">
            <v>fl oz/A</v>
          </cell>
          <cell r="H36" t="str">
            <v>R3</v>
          </cell>
        </row>
        <row r="37">
          <cell r="B37">
            <v>27</v>
          </cell>
          <cell r="C37" t="str">
            <v>Aproach</v>
          </cell>
          <cell r="D37">
            <v>11</v>
          </cell>
          <cell r="E37">
            <v>20</v>
          </cell>
          <cell r="F37">
            <v>13.9</v>
          </cell>
          <cell r="G37" t="str">
            <v>fl oz/A</v>
          </cell>
          <cell r="H37" t="str">
            <v>R1</v>
          </cell>
          <cell r="I37">
            <v>68</v>
          </cell>
        </row>
        <row r="38">
          <cell r="C38" t="str">
            <v>Aproach</v>
          </cell>
          <cell r="F38">
            <v>13.9</v>
          </cell>
          <cell r="G38" t="str">
            <v>fl oz/A</v>
          </cell>
          <cell r="H38" t="str">
            <v>R3</v>
          </cell>
        </row>
        <row r="39">
          <cell r="B39">
            <v>28</v>
          </cell>
          <cell r="C39" t="str">
            <v>Aproach</v>
          </cell>
          <cell r="D39">
            <v>11</v>
          </cell>
          <cell r="E39">
            <v>20</v>
          </cell>
          <cell r="F39">
            <v>16</v>
          </cell>
          <cell r="G39" t="str">
            <v>fl oz/A</v>
          </cell>
          <cell r="H39" t="str">
            <v>R1</v>
          </cell>
          <cell r="I39">
            <v>6</v>
          </cell>
        </row>
        <row r="40">
          <cell r="B40">
            <v>29</v>
          </cell>
          <cell r="C40" t="str">
            <v>Aproach</v>
          </cell>
          <cell r="D40">
            <v>11</v>
          </cell>
          <cell r="E40">
            <v>20</v>
          </cell>
          <cell r="F40">
            <v>16.5</v>
          </cell>
          <cell r="G40" t="str">
            <v>fl oz/A</v>
          </cell>
          <cell r="H40" t="str">
            <v>R1</v>
          </cell>
          <cell r="I40">
            <v>6</v>
          </cell>
        </row>
        <row r="41">
          <cell r="C41" t="str">
            <v>Aproach</v>
          </cell>
          <cell r="F41">
            <v>16.5</v>
          </cell>
          <cell r="G41" t="str">
            <v>fl oz/A</v>
          </cell>
          <cell r="H41" t="str">
            <v>R1</v>
          </cell>
        </row>
        <row r="42">
          <cell r="B42">
            <v>30</v>
          </cell>
          <cell r="C42" t="str">
            <v>Aproach</v>
          </cell>
          <cell r="D42">
            <v>711</v>
          </cell>
          <cell r="E42">
            <v>420</v>
          </cell>
          <cell r="F42">
            <v>9</v>
          </cell>
          <cell r="G42" t="str">
            <v>fl oz/a</v>
          </cell>
          <cell r="H42" t="str">
            <v>V5</v>
          </cell>
          <cell r="I42">
            <v>56</v>
          </cell>
        </row>
        <row r="43">
          <cell r="C43" t="str">
            <v>Endura</v>
          </cell>
          <cell r="F43">
            <v>8</v>
          </cell>
          <cell r="G43" t="str">
            <v>oz/a</v>
          </cell>
          <cell r="H43" t="str">
            <v>R1</v>
          </cell>
        </row>
        <row r="44">
          <cell r="B44">
            <v>31</v>
          </cell>
          <cell r="C44" t="str">
            <v>Aproach</v>
          </cell>
          <cell r="D44">
            <v>711</v>
          </cell>
          <cell r="E44">
            <v>420</v>
          </cell>
          <cell r="F44">
            <v>9</v>
          </cell>
          <cell r="G44" t="str">
            <v>fl oz/a</v>
          </cell>
          <cell r="H44" t="str">
            <v>V5</v>
          </cell>
          <cell r="I44">
            <v>58</v>
          </cell>
        </row>
        <row r="45">
          <cell r="C45" t="str">
            <v>Endura</v>
          </cell>
          <cell r="F45">
            <v>8</v>
          </cell>
          <cell r="G45" t="str">
            <v>oz/a</v>
          </cell>
          <cell r="H45" t="str">
            <v>R3</v>
          </cell>
        </row>
        <row r="46">
          <cell r="B46">
            <v>32</v>
          </cell>
          <cell r="C46" t="str">
            <v>Aproach</v>
          </cell>
          <cell r="D46" t="str">
            <v>PPO3711</v>
          </cell>
          <cell r="E46">
            <v>4151618202224</v>
          </cell>
          <cell r="F46">
            <v>9</v>
          </cell>
          <cell r="G46" t="str">
            <v>fl oz/a</v>
          </cell>
          <cell r="H46" t="str">
            <v>V5</v>
          </cell>
          <cell r="I46">
            <v>56810</v>
          </cell>
        </row>
        <row r="47">
          <cell r="C47" t="str">
            <v>Proline</v>
          </cell>
          <cell r="F47">
            <v>3</v>
          </cell>
          <cell r="G47" t="str">
            <v>fl oz/a</v>
          </cell>
          <cell r="H47" t="str">
            <v>R1</v>
          </cell>
        </row>
        <row r="48">
          <cell r="C48" t="str">
            <v>Cobra</v>
          </cell>
          <cell r="F48">
            <v>5</v>
          </cell>
          <cell r="G48" t="str">
            <v>fl oz/a</v>
          </cell>
          <cell r="H48" t="str">
            <v>R1</v>
          </cell>
        </row>
        <row r="49">
          <cell r="C49" t="str">
            <v>Priaxor</v>
          </cell>
          <cell r="F49">
            <v>4</v>
          </cell>
          <cell r="G49" t="str">
            <v>fl oz/a</v>
          </cell>
          <cell r="H49" t="str">
            <v>R3</v>
          </cell>
        </row>
        <row r="50">
          <cell r="C50" t="str">
            <v>Topguard</v>
          </cell>
          <cell r="F50">
            <v>5</v>
          </cell>
          <cell r="G50" t="str">
            <v>fl oz/a</v>
          </cell>
          <cell r="H50" t="str">
            <v>R3</v>
          </cell>
        </row>
        <row r="51">
          <cell r="C51" t="str">
            <v>Endura</v>
          </cell>
          <cell r="F51">
            <v>6</v>
          </cell>
          <cell r="G51" t="str">
            <v>oz/a</v>
          </cell>
          <cell r="H51" t="str">
            <v>R5</v>
          </cell>
        </row>
        <row r="52">
          <cell r="B52">
            <v>33</v>
          </cell>
          <cell r="C52" t="str">
            <v>Aproach Prima</v>
          </cell>
          <cell r="D52">
            <v>311</v>
          </cell>
          <cell r="E52">
            <v>208</v>
          </cell>
          <cell r="F52">
            <v>6.8</v>
          </cell>
          <cell r="G52" t="str">
            <v>fl oz/A</v>
          </cell>
          <cell r="H52" t="str">
            <v>R2</v>
          </cell>
          <cell r="I52">
            <v>7</v>
          </cell>
        </row>
        <row r="53">
          <cell r="B53">
            <v>34</v>
          </cell>
          <cell r="C53" t="str">
            <v>Aproach Prima</v>
          </cell>
          <cell r="D53">
            <v>311</v>
          </cell>
          <cell r="E53">
            <v>208</v>
          </cell>
          <cell r="F53">
            <v>6.8</v>
          </cell>
          <cell r="G53" t="str">
            <v>fl oz/A</v>
          </cell>
          <cell r="H53" t="str">
            <v>R3</v>
          </cell>
          <cell r="I53">
            <v>8</v>
          </cell>
        </row>
        <row r="54">
          <cell r="B54">
            <v>35</v>
          </cell>
          <cell r="C54" t="str">
            <v>Aproach Prima</v>
          </cell>
          <cell r="D54">
            <v>311</v>
          </cell>
          <cell r="E54">
            <v>208</v>
          </cell>
          <cell r="F54">
            <v>6.8</v>
          </cell>
          <cell r="G54" t="str">
            <v>fl oz/A</v>
          </cell>
          <cell r="H54" t="str">
            <v>R1</v>
          </cell>
          <cell r="I54">
            <v>68</v>
          </cell>
        </row>
        <row r="55">
          <cell r="C55" t="str">
            <v>Aproach Prima</v>
          </cell>
          <cell r="F55">
            <v>6.8</v>
          </cell>
          <cell r="G55" t="str">
            <v>fl oz/A</v>
          </cell>
          <cell r="H55" t="str">
            <v>R3</v>
          </cell>
        </row>
        <row r="56">
          <cell r="B56">
            <v>36</v>
          </cell>
          <cell r="C56" t="str">
            <v xml:space="preserve">Aproach </v>
          </cell>
          <cell r="D56">
            <v>311</v>
          </cell>
          <cell r="E56">
            <v>208</v>
          </cell>
          <cell r="F56">
            <v>9</v>
          </cell>
          <cell r="G56" t="str">
            <v>fl oz/A</v>
          </cell>
          <cell r="H56" t="str">
            <v>R1</v>
          </cell>
          <cell r="I56">
            <v>68</v>
          </cell>
        </row>
        <row r="57">
          <cell r="C57" t="str">
            <v>Aproach Prima</v>
          </cell>
          <cell r="F57">
            <v>6.8</v>
          </cell>
          <cell r="G57" t="str">
            <v>fl oz/A</v>
          </cell>
          <cell r="H57" t="str">
            <v>R3</v>
          </cell>
        </row>
        <row r="58">
          <cell r="B58">
            <v>37</v>
          </cell>
          <cell r="C58" t="str">
            <v>Aproach Prima</v>
          </cell>
          <cell r="D58">
            <v>311</v>
          </cell>
          <cell r="E58">
            <v>208</v>
          </cell>
          <cell r="F58">
            <v>8</v>
          </cell>
          <cell r="G58" t="str">
            <v>fl oz/A</v>
          </cell>
          <cell r="H58" t="str">
            <v>R3</v>
          </cell>
          <cell r="I58">
            <v>8</v>
          </cell>
        </row>
        <row r="59">
          <cell r="B59">
            <v>38</v>
          </cell>
          <cell r="C59" t="str">
            <v>BAS 793..F</v>
          </cell>
          <cell r="D59" t="str">
            <v>NA</v>
          </cell>
          <cell r="E59" t="str">
            <v>U</v>
          </cell>
          <cell r="F59">
            <v>7</v>
          </cell>
          <cell r="G59" t="str">
            <v>fl oz/A</v>
          </cell>
          <cell r="H59" t="str">
            <v>R1</v>
          </cell>
          <cell r="I59">
            <v>6</v>
          </cell>
        </row>
        <row r="60">
          <cell r="B60">
            <v>39</v>
          </cell>
          <cell r="C60" t="str">
            <v>BAS 793..F</v>
          </cell>
          <cell r="D60" t="str">
            <v>NA</v>
          </cell>
          <cell r="E60" t="str">
            <v>U</v>
          </cell>
          <cell r="F60">
            <v>14</v>
          </cell>
          <cell r="G60" t="str">
            <v>fl oz/A</v>
          </cell>
          <cell r="H60" t="str">
            <v>R1</v>
          </cell>
          <cell r="I60">
            <v>6</v>
          </cell>
        </row>
        <row r="61">
          <cell r="B61">
            <v>40</v>
          </cell>
          <cell r="C61" t="str">
            <v>Cadet</v>
          </cell>
          <cell r="D61" t="str">
            <v>PPO</v>
          </cell>
          <cell r="E61">
            <v>13</v>
          </cell>
          <cell r="F61">
            <v>0.45</v>
          </cell>
          <cell r="G61" t="str">
            <v>fl oz/a</v>
          </cell>
          <cell r="H61" t="str">
            <v>R1</v>
          </cell>
          <cell r="I61">
            <v>6</v>
          </cell>
        </row>
        <row r="62">
          <cell r="B62">
            <v>41</v>
          </cell>
          <cell r="C62" t="str">
            <v>Cadet</v>
          </cell>
          <cell r="D62" t="str">
            <v>PPO</v>
          </cell>
          <cell r="E62">
            <v>13</v>
          </cell>
          <cell r="F62">
            <v>0.5</v>
          </cell>
          <cell r="G62" t="str">
            <v>fl oz/A</v>
          </cell>
          <cell r="H62" t="str">
            <v>R1</v>
          </cell>
          <cell r="I62">
            <v>6</v>
          </cell>
        </row>
        <row r="63">
          <cell r="B63">
            <v>42</v>
          </cell>
          <cell r="C63" t="str">
            <v>Cercobin</v>
          </cell>
          <cell r="D63">
            <v>1</v>
          </cell>
          <cell r="E63">
            <v>28</v>
          </cell>
          <cell r="F63">
            <v>21</v>
          </cell>
          <cell r="G63" t="str">
            <v>fl oz/A</v>
          </cell>
          <cell r="H63" t="str">
            <v>R1</v>
          </cell>
          <cell r="I63">
            <v>6</v>
          </cell>
        </row>
        <row r="64">
          <cell r="B64">
            <v>43</v>
          </cell>
          <cell r="C64" t="str">
            <v>Cercobin</v>
          </cell>
          <cell r="D64">
            <v>1</v>
          </cell>
          <cell r="E64">
            <v>28</v>
          </cell>
          <cell r="F64">
            <v>23.4</v>
          </cell>
          <cell r="G64" t="str">
            <v>fl oz/A</v>
          </cell>
          <cell r="H64" t="str">
            <v>R3</v>
          </cell>
          <cell r="I64">
            <v>8</v>
          </cell>
        </row>
        <row r="65">
          <cell r="B65">
            <v>44</v>
          </cell>
          <cell r="C65" t="str">
            <v>Cercobin</v>
          </cell>
          <cell r="D65">
            <v>1</v>
          </cell>
          <cell r="E65">
            <v>28</v>
          </cell>
          <cell r="F65">
            <v>31</v>
          </cell>
          <cell r="G65" t="str">
            <v>fl oz/a</v>
          </cell>
          <cell r="H65" t="str">
            <v>R1</v>
          </cell>
          <cell r="I65">
            <v>6</v>
          </cell>
        </row>
        <row r="66">
          <cell r="B66">
            <v>45</v>
          </cell>
          <cell r="C66" t="str">
            <v>Cercobin</v>
          </cell>
          <cell r="D66">
            <v>1</v>
          </cell>
          <cell r="E66">
            <v>28</v>
          </cell>
          <cell r="F66">
            <v>31</v>
          </cell>
          <cell r="G66" t="str">
            <v>fl oz/A</v>
          </cell>
          <cell r="H66" t="str">
            <v>R3</v>
          </cell>
          <cell r="I66">
            <v>8</v>
          </cell>
        </row>
        <row r="67">
          <cell r="B67">
            <v>46</v>
          </cell>
          <cell r="C67" t="str">
            <v>Cercobin</v>
          </cell>
          <cell r="D67">
            <v>13</v>
          </cell>
          <cell r="E67">
            <v>2815</v>
          </cell>
          <cell r="F67">
            <v>23.4</v>
          </cell>
          <cell r="G67" t="str">
            <v>fl oz/A</v>
          </cell>
          <cell r="H67" t="str">
            <v>R3</v>
          </cell>
          <cell r="I67">
            <v>8</v>
          </cell>
        </row>
        <row r="68">
          <cell r="C68" t="str">
            <v>Topguard</v>
          </cell>
          <cell r="F68">
            <v>10</v>
          </cell>
          <cell r="G68" t="str">
            <v>fl oz/A</v>
          </cell>
          <cell r="H68" t="str">
            <v>R3</v>
          </cell>
        </row>
        <row r="69">
          <cell r="B69">
            <v>47</v>
          </cell>
          <cell r="C69" t="str">
            <v>Cercobin</v>
          </cell>
          <cell r="D69">
            <v>13</v>
          </cell>
          <cell r="E69">
            <v>2815</v>
          </cell>
          <cell r="F69">
            <v>21</v>
          </cell>
          <cell r="G69" t="str">
            <v>fl oz/A</v>
          </cell>
          <cell r="H69" t="str">
            <v>R1</v>
          </cell>
          <cell r="I69">
            <v>6</v>
          </cell>
        </row>
        <row r="70">
          <cell r="C70" t="str">
            <v>Topguard</v>
          </cell>
          <cell r="F70">
            <v>10</v>
          </cell>
          <cell r="G70" t="str">
            <v>fl oz/A</v>
          </cell>
          <cell r="H70" t="str">
            <v>R1</v>
          </cell>
        </row>
        <row r="71">
          <cell r="B71">
            <v>48</v>
          </cell>
          <cell r="C71" t="str">
            <v>Cobra</v>
          </cell>
          <cell r="D71" t="str">
            <v>PPO</v>
          </cell>
          <cell r="E71">
            <v>18</v>
          </cell>
          <cell r="F71">
            <v>3</v>
          </cell>
          <cell r="G71" t="str">
            <v>fl oz/A</v>
          </cell>
          <cell r="H71" t="str">
            <v>R1</v>
          </cell>
          <cell r="I71">
            <v>6</v>
          </cell>
        </row>
        <row r="72">
          <cell r="B72">
            <v>49</v>
          </cell>
          <cell r="C72" t="str">
            <v>Cobra</v>
          </cell>
          <cell r="D72" t="str">
            <v>PPO</v>
          </cell>
          <cell r="E72">
            <v>18</v>
          </cell>
          <cell r="F72">
            <v>6</v>
          </cell>
          <cell r="G72" t="str">
            <v>fl oz/A</v>
          </cell>
          <cell r="H72" t="str">
            <v>V3</v>
          </cell>
          <cell r="I72">
            <v>3</v>
          </cell>
        </row>
        <row r="73">
          <cell r="B73">
            <v>50</v>
          </cell>
          <cell r="C73" t="str">
            <v>Cobra</v>
          </cell>
          <cell r="D73" t="str">
            <v>PPO</v>
          </cell>
          <cell r="E73">
            <v>18</v>
          </cell>
          <cell r="F73">
            <v>6</v>
          </cell>
          <cell r="G73" t="str">
            <v>fl oz/A</v>
          </cell>
          <cell r="H73" t="str">
            <v>V4</v>
          </cell>
          <cell r="I73">
            <v>4</v>
          </cell>
        </row>
        <row r="74">
          <cell r="B74">
            <v>51</v>
          </cell>
          <cell r="C74" t="str">
            <v>Cobra</v>
          </cell>
          <cell r="D74" t="str">
            <v>PPO</v>
          </cell>
          <cell r="E74">
            <v>18</v>
          </cell>
          <cell r="F74">
            <v>6</v>
          </cell>
          <cell r="G74" t="str">
            <v>fl oz/A</v>
          </cell>
          <cell r="H74" t="str">
            <v>V5</v>
          </cell>
          <cell r="I74">
            <v>5</v>
          </cell>
        </row>
        <row r="75">
          <cell r="B75">
            <v>52</v>
          </cell>
          <cell r="C75" t="str">
            <v>Cobra</v>
          </cell>
          <cell r="D75" t="str">
            <v>PPO</v>
          </cell>
          <cell r="E75">
            <v>18</v>
          </cell>
          <cell r="F75">
            <v>6</v>
          </cell>
          <cell r="G75" t="str">
            <v>fl oz/A</v>
          </cell>
          <cell r="H75" t="str">
            <v>R1</v>
          </cell>
          <cell r="I75">
            <v>6</v>
          </cell>
        </row>
        <row r="76">
          <cell r="B76">
            <v>53</v>
          </cell>
          <cell r="C76" t="str">
            <v>Cobra</v>
          </cell>
          <cell r="D76" t="str">
            <v>PPO</v>
          </cell>
          <cell r="E76">
            <v>18</v>
          </cell>
          <cell r="F76">
            <v>6</v>
          </cell>
          <cell r="G76" t="str">
            <v>fl oz/A</v>
          </cell>
          <cell r="H76" t="str">
            <v>R2</v>
          </cell>
          <cell r="I76">
            <v>7</v>
          </cell>
        </row>
        <row r="77">
          <cell r="B77">
            <v>54</v>
          </cell>
          <cell r="C77" t="str">
            <v>Cobra</v>
          </cell>
          <cell r="D77" t="str">
            <v>PPO</v>
          </cell>
          <cell r="E77">
            <v>18</v>
          </cell>
          <cell r="F77">
            <v>6</v>
          </cell>
          <cell r="G77" t="str">
            <v>fl oz/A</v>
          </cell>
          <cell r="H77" t="str">
            <v>R3</v>
          </cell>
          <cell r="I77">
            <v>8</v>
          </cell>
        </row>
        <row r="78">
          <cell r="B78">
            <v>55</v>
          </cell>
          <cell r="C78" t="str">
            <v>Cobra</v>
          </cell>
          <cell r="D78" t="str">
            <v>PPO</v>
          </cell>
          <cell r="E78">
            <v>18</v>
          </cell>
          <cell r="F78">
            <v>8</v>
          </cell>
          <cell r="G78" t="str">
            <v>fl oz/A</v>
          </cell>
          <cell r="H78" t="str">
            <v>V5</v>
          </cell>
          <cell r="I78">
            <v>5</v>
          </cell>
        </row>
        <row r="79">
          <cell r="B79">
            <v>56</v>
          </cell>
          <cell r="C79" t="str">
            <v>Cobra</v>
          </cell>
          <cell r="D79" t="str">
            <v>PPO</v>
          </cell>
          <cell r="E79">
            <v>18</v>
          </cell>
          <cell r="F79">
            <v>8</v>
          </cell>
          <cell r="G79" t="str">
            <v>fl oz/A</v>
          </cell>
          <cell r="H79" t="str">
            <v>R1</v>
          </cell>
          <cell r="I79">
            <v>6</v>
          </cell>
        </row>
        <row r="80">
          <cell r="B80">
            <v>57</v>
          </cell>
          <cell r="C80" t="str">
            <v>Cobra</v>
          </cell>
          <cell r="D80" t="str">
            <v>PPO</v>
          </cell>
          <cell r="E80">
            <v>18</v>
          </cell>
          <cell r="F80">
            <v>10.5</v>
          </cell>
          <cell r="G80" t="str">
            <v>fl oz/A</v>
          </cell>
          <cell r="H80" t="str">
            <v>R3</v>
          </cell>
          <cell r="I80">
            <v>8</v>
          </cell>
        </row>
        <row r="81">
          <cell r="B81">
            <v>58</v>
          </cell>
          <cell r="C81" t="str">
            <v>Cobra</v>
          </cell>
          <cell r="D81" t="str">
            <v>PPO</v>
          </cell>
          <cell r="E81">
            <v>18</v>
          </cell>
          <cell r="F81">
            <v>12.5</v>
          </cell>
          <cell r="G81" t="str">
            <v>fl oz/A</v>
          </cell>
          <cell r="H81" t="str">
            <v>R1</v>
          </cell>
          <cell r="I81">
            <v>6</v>
          </cell>
        </row>
        <row r="82">
          <cell r="B82">
            <v>59</v>
          </cell>
          <cell r="C82" t="str">
            <v>Cobra</v>
          </cell>
          <cell r="D82" t="str">
            <v>PPO11</v>
          </cell>
          <cell r="E82">
            <v>1820</v>
          </cell>
          <cell r="F82">
            <v>3</v>
          </cell>
          <cell r="G82" t="str">
            <v>fl oz/A</v>
          </cell>
          <cell r="H82" t="str">
            <v>R1</v>
          </cell>
          <cell r="I82">
            <v>6</v>
          </cell>
        </row>
        <row r="83">
          <cell r="C83" t="str">
            <v>Aproach</v>
          </cell>
          <cell r="F83">
            <v>9</v>
          </cell>
          <cell r="G83" t="str">
            <v>fl oz/A</v>
          </cell>
          <cell r="H83" t="str">
            <v>R1</v>
          </cell>
        </row>
        <row r="84">
          <cell r="B84">
            <v>60</v>
          </cell>
          <cell r="C84" t="str">
            <v>Cobra</v>
          </cell>
          <cell r="D84" t="str">
            <v>PPO11</v>
          </cell>
          <cell r="E84">
            <v>1820</v>
          </cell>
          <cell r="F84">
            <v>3</v>
          </cell>
          <cell r="G84" t="str">
            <v>fl oz/A</v>
          </cell>
          <cell r="H84" t="str">
            <v>R1</v>
          </cell>
          <cell r="I84" t="str">
            <v>610d</v>
          </cell>
        </row>
        <row r="85">
          <cell r="C85" t="str">
            <v>Aproach</v>
          </cell>
          <cell r="F85">
            <v>9</v>
          </cell>
          <cell r="G85" t="str">
            <v>fl oz/A</v>
          </cell>
          <cell r="H85" t="str">
            <v>10d post R1</v>
          </cell>
        </row>
        <row r="86">
          <cell r="B86">
            <v>61</v>
          </cell>
          <cell r="C86" t="str">
            <v>Cobra</v>
          </cell>
          <cell r="D86" t="str">
            <v>PPO11</v>
          </cell>
          <cell r="E86">
            <v>1820</v>
          </cell>
          <cell r="F86">
            <v>3</v>
          </cell>
          <cell r="G86" t="str">
            <v>fl oz/A</v>
          </cell>
          <cell r="H86" t="str">
            <v>R1</v>
          </cell>
          <cell r="I86">
            <v>67</v>
          </cell>
        </row>
        <row r="87">
          <cell r="C87" t="str">
            <v>Aproach</v>
          </cell>
          <cell r="F87">
            <v>9</v>
          </cell>
          <cell r="G87" t="str">
            <v>fl oz/A</v>
          </cell>
          <cell r="H87" t="str">
            <v>R2</v>
          </cell>
        </row>
        <row r="88">
          <cell r="B88">
            <v>62</v>
          </cell>
          <cell r="C88" t="str">
            <v>Cobra</v>
          </cell>
          <cell r="D88" t="str">
            <v>PPO11</v>
          </cell>
          <cell r="E88">
            <v>1820</v>
          </cell>
          <cell r="F88">
            <v>6</v>
          </cell>
          <cell r="G88" t="str">
            <v>fl oz/A</v>
          </cell>
          <cell r="H88" t="str">
            <v>R1</v>
          </cell>
          <cell r="I88">
            <v>68</v>
          </cell>
        </row>
        <row r="89">
          <cell r="C89" t="str">
            <v>Aproach</v>
          </cell>
          <cell r="F89">
            <v>9</v>
          </cell>
          <cell r="G89" t="str">
            <v>fl oz/A</v>
          </cell>
          <cell r="H89" t="str">
            <v>R3</v>
          </cell>
        </row>
        <row r="90">
          <cell r="B90">
            <v>63</v>
          </cell>
          <cell r="C90" t="str">
            <v>Cobra</v>
          </cell>
          <cell r="D90" t="str">
            <v>PPO3</v>
          </cell>
          <cell r="E90">
            <v>1826</v>
          </cell>
          <cell r="F90">
            <v>6</v>
          </cell>
          <cell r="G90" t="str">
            <v>fl oz/A</v>
          </cell>
          <cell r="H90" t="str">
            <v>V4</v>
          </cell>
          <cell r="I90">
            <v>48</v>
          </cell>
        </row>
        <row r="91">
          <cell r="C91" t="str">
            <v>Domark</v>
          </cell>
          <cell r="F91">
            <v>5</v>
          </cell>
          <cell r="G91" t="str">
            <v>fl oz/A</v>
          </cell>
          <cell r="H91" t="str">
            <v>R3</v>
          </cell>
        </row>
        <row r="92">
          <cell r="B92">
            <v>64</v>
          </cell>
          <cell r="C92" t="str">
            <v>Cobra</v>
          </cell>
          <cell r="D92" t="str">
            <v>PPO7</v>
          </cell>
          <cell r="E92">
            <v>184</v>
          </cell>
          <cell r="F92">
            <v>6</v>
          </cell>
          <cell r="G92" t="str">
            <v>fl oz/A</v>
          </cell>
          <cell r="H92" t="str">
            <v>R1</v>
          </cell>
          <cell r="I92">
            <v>6</v>
          </cell>
        </row>
        <row r="93">
          <cell r="C93" t="str">
            <v>Endura</v>
          </cell>
          <cell r="F93">
            <v>6</v>
          </cell>
          <cell r="G93" t="str">
            <v>oz/a</v>
          </cell>
          <cell r="H93" t="str">
            <v>R1</v>
          </cell>
        </row>
        <row r="94">
          <cell r="B94">
            <v>65</v>
          </cell>
          <cell r="C94" t="str">
            <v>Cobra</v>
          </cell>
          <cell r="D94" t="str">
            <v>PPO7</v>
          </cell>
          <cell r="E94">
            <v>184</v>
          </cell>
          <cell r="F94">
            <v>6</v>
          </cell>
          <cell r="G94" t="str">
            <v>fl oz/A</v>
          </cell>
          <cell r="H94" t="str">
            <v>R1</v>
          </cell>
          <cell r="I94">
            <v>6</v>
          </cell>
        </row>
        <row r="95">
          <cell r="C95" t="str">
            <v>Endura</v>
          </cell>
          <cell r="F95">
            <v>8</v>
          </cell>
          <cell r="G95" t="str">
            <v>oz/a</v>
          </cell>
          <cell r="H95" t="str">
            <v>R1</v>
          </cell>
        </row>
        <row r="96">
          <cell r="B96">
            <v>66</v>
          </cell>
          <cell r="C96" t="str">
            <v>Cobra</v>
          </cell>
          <cell r="D96" t="str">
            <v>PPO7</v>
          </cell>
          <cell r="E96">
            <v>184</v>
          </cell>
          <cell r="F96">
            <v>6</v>
          </cell>
          <cell r="G96" t="str">
            <v>fl oz/A</v>
          </cell>
          <cell r="H96" t="str">
            <v>R1</v>
          </cell>
          <cell r="I96">
            <v>68</v>
          </cell>
        </row>
        <row r="97">
          <cell r="C97" t="str">
            <v>Endura</v>
          </cell>
          <cell r="F97">
            <v>6</v>
          </cell>
          <cell r="G97" t="str">
            <v>oz/a</v>
          </cell>
          <cell r="H97" t="str">
            <v>R3</v>
          </cell>
        </row>
        <row r="98">
          <cell r="B98">
            <v>67</v>
          </cell>
          <cell r="C98" t="str">
            <v>Contans</v>
          </cell>
          <cell r="D98" t="str">
            <v>BIO3</v>
          </cell>
          <cell r="E98">
            <v>726</v>
          </cell>
          <cell r="F98">
            <v>1</v>
          </cell>
          <cell r="G98" t="str">
            <v>lb/a</v>
          </cell>
          <cell r="H98" t="str">
            <v>At-Plant</v>
          </cell>
          <cell r="I98">
            <v>16</v>
          </cell>
        </row>
        <row r="99">
          <cell r="C99" t="str">
            <v>Andiamo</v>
          </cell>
          <cell r="F99">
            <v>5</v>
          </cell>
          <cell r="G99" t="str">
            <v>fl oz/a</v>
          </cell>
          <cell r="H99" t="str">
            <v>R1</v>
          </cell>
        </row>
        <row r="100">
          <cell r="B100">
            <v>68</v>
          </cell>
          <cell r="C100" t="str">
            <v>Contans</v>
          </cell>
          <cell r="D100" t="str">
            <v>BIO3</v>
          </cell>
          <cell r="E100">
            <v>726</v>
          </cell>
          <cell r="F100">
            <v>1</v>
          </cell>
          <cell r="G100" t="str">
            <v>lb/a</v>
          </cell>
          <cell r="H100" t="str">
            <v>At Plant</v>
          </cell>
          <cell r="I100">
            <v>16</v>
          </cell>
        </row>
        <row r="101">
          <cell r="C101" t="str">
            <v>Andiamo</v>
          </cell>
          <cell r="F101">
            <v>6</v>
          </cell>
          <cell r="G101" t="str">
            <v>fl oz/a</v>
          </cell>
          <cell r="H101" t="str">
            <v>R1</v>
          </cell>
        </row>
        <row r="102">
          <cell r="B102">
            <v>69</v>
          </cell>
          <cell r="C102" t="str">
            <v>Contans</v>
          </cell>
          <cell r="D102" t="str">
            <v>BIO13</v>
          </cell>
          <cell r="E102">
            <v>72826</v>
          </cell>
          <cell r="F102">
            <v>1</v>
          </cell>
          <cell r="G102" t="str">
            <v>lb/a</v>
          </cell>
          <cell r="H102" t="str">
            <v>At Plant</v>
          </cell>
          <cell r="I102">
            <v>16</v>
          </cell>
        </row>
        <row r="103">
          <cell r="C103" t="str">
            <v>Andiamo Duo</v>
          </cell>
          <cell r="F103">
            <v>23</v>
          </cell>
          <cell r="G103" t="str">
            <v>fl oz/a</v>
          </cell>
          <cell r="H103" t="str">
            <v>R1</v>
          </cell>
        </row>
        <row r="104">
          <cell r="B104">
            <v>70</v>
          </cell>
          <cell r="C104" t="str">
            <v>CruiserMaxx</v>
          </cell>
          <cell r="D104" t="str">
            <v>I1412</v>
          </cell>
          <cell r="E104">
            <v>271912</v>
          </cell>
          <cell r="F104">
            <v>3</v>
          </cell>
          <cell r="G104" t="str">
            <v>fl oz/cwt</v>
          </cell>
          <cell r="H104" t="str">
            <v>SETRLI</v>
          </cell>
          <cell r="I104">
            <v>1</v>
          </cell>
        </row>
        <row r="105">
          <cell r="B105">
            <v>71</v>
          </cell>
          <cell r="C105" t="str">
            <v>Custodia</v>
          </cell>
          <cell r="D105">
            <v>311</v>
          </cell>
          <cell r="E105">
            <v>125</v>
          </cell>
          <cell r="F105">
            <v>8.6</v>
          </cell>
          <cell r="G105" t="str">
            <v>fl oz/A</v>
          </cell>
          <cell r="H105" t="str">
            <v>R3</v>
          </cell>
          <cell r="I105">
            <v>8</v>
          </cell>
        </row>
        <row r="106">
          <cell r="B106">
            <v>72</v>
          </cell>
          <cell r="C106" t="str">
            <v>Domark</v>
          </cell>
          <cell r="D106">
            <v>3</v>
          </cell>
          <cell r="E106">
            <v>26</v>
          </cell>
          <cell r="F106">
            <v>4</v>
          </cell>
          <cell r="G106" t="str">
            <v>fl oz/A</v>
          </cell>
          <cell r="H106" t="str">
            <v>R1</v>
          </cell>
          <cell r="I106">
            <v>6</v>
          </cell>
        </row>
        <row r="107">
          <cell r="B107">
            <v>73</v>
          </cell>
          <cell r="C107" t="str">
            <v>Domark</v>
          </cell>
          <cell r="D107">
            <v>3</v>
          </cell>
          <cell r="E107">
            <v>26</v>
          </cell>
          <cell r="F107">
            <v>4</v>
          </cell>
          <cell r="G107" t="str">
            <v>fl oz/A</v>
          </cell>
          <cell r="H107" t="str">
            <v>R3</v>
          </cell>
          <cell r="I107">
            <v>8</v>
          </cell>
        </row>
        <row r="108">
          <cell r="B108">
            <v>74</v>
          </cell>
          <cell r="C108" t="str">
            <v>Domark</v>
          </cell>
          <cell r="D108">
            <v>3</v>
          </cell>
          <cell r="E108">
            <v>26</v>
          </cell>
          <cell r="F108">
            <v>5</v>
          </cell>
          <cell r="G108" t="str">
            <v>fl oz/A</v>
          </cell>
          <cell r="H108" t="str">
            <v>R1</v>
          </cell>
          <cell r="I108">
            <v>6</v>
          </cell>
        </row>
        <row r="109">
          <cell r="B109">
            <v>75</v>
          </cell>
          <cell r="C109" t="str">
            <v>Domark</v>
          </cell>
          <cell r="D109">
            <v>3</v>
          </cell>
          <cell r="E109">
            <v>26</v>
          </cell>
          <cell r="F109">
            <v>5</v>
          </cell>
          <cell r="G109" t="str">
            <v>fl oz/A</v>
          </cell>
          <cell r="H109" t="str">
            <v>R2</v>
          </cell>
          <cell r="I109">
            <v>7</v>
          </cell>
        </row>
        <row r="110">
          <cell r="B110">
            <v>76</v>
          </cell>
          <cell r="C110" t="str">
            <v>Domark</v>
          </cell>
          <cell r="D110">
            <v>3</v>
          </cell>
          <cell r="E110">
            <v>26</v>
          </cell>
          <cell r="F110">
            <v>5</v>
          </cell>
          <cell r="G110" t="str">
            <v>fl oz/A</v>
          </cell>
          <cell r="H110" t="str">
            <v>R3</v>
          </cell>
          <cell r="I110">
            <v>8</v>
          </cell>
        </row>
        <row r="111">
          <cell r="B111">
            <v>77</v>
          </cell>
          <cell r="C111" t="str">
            <v>Domark</v>
          </cell>
          <cell r="D111">
            <v>3</v>
          </cell>
          <cell r="E111">
            <v>26</v>
          </cell>
          <cell r="F111">
            <v>6</v>
          </cell>
          <cell r="G111" t="str">
            <v>fl oz/A</v>
          </cell>
          <cell r="H111" t="str">
            <v>R1</v>
          </cell>
          <cell r="I111">
            <v>6</v>
          </cell>
        </row>
        <row r="112">
          <cell r="B112">
            <v>78</v>
          </cell>
          <cell r="C112" t="str">
            <v>Domark</v>
          </cell>
          <cell r="D112">
            <v>3</v>
          </cell>
          <cell r="E112">
            <v>26</v>
          </cell>
          <cell r="F112">
            <v>6</v>
          </cell>
          <cell r="G112" t="str">
            <v>fl oz/A</v>
          </cell>
          <cell r="H112" t="str">
            <v>R3</v>
          </cell>
          <cell r="I112">
            <v>8</v>
          </cell>
        </row>
        <row r="113">
          <cell r="B113">
            <v>79</v>
          </cell>
          <cell r="C113" t="str">
            <v>Domark</v>
          </cell>
          <cell r="D113">
            <v>3</v>
          </cell>
          <cell r="E113">
            <v>26</v>
          </cell>
          <cell r="F113">
            <v>5</v>
          </cell>
          <cell r="G113" t="str">
            <v>fl oz/A</v>
          </cell>
          <cell r="H113" t="str">
            <v>R1</v>
          </cell>
          <cell r="I113">
            <v>68</v>
          </cell>
        </row>
        <row r="114">
          <cell r="C114" t="str">
            <v>Domark</v>
          </cell>
          <cell r="F114">
            <v>5</v>
          </cell>
          <cell r="G114" t="str">
            <v>fl oz/A</v>
          </cell>
          <cell r="H114" t="str">
            <v>R3</v>
          </cell>
        </row>
        <row r="115">
          <cell r="B115">
            <v>80</v>
          </cell>
          <cell r="C115" t="str">
            <v>Domark</v>
          </cell>
          <cell r="D115">
            <v>3</v>
          </cell>
          <cell r="E115">
            <v>26</v>
          </cell>
          <cell r="F115">
            <v>5</v>
          </cell>
          <cell r="G115" t="str">
            <v>fl oz/A</v>
          </cell>
          <cell r="H115" t="str">
            <v>R3</v>
          </cell>
          <cell r="I115">
            <v>810</v>
          </cell>
        </row>
        <row r="116">
          <cell r="C116" t="str">
            <v>Domark</v>
          </cell>
          <cell r="F116">
            <v>5</v>
          </cell>
          <cell r="G116" t="str">
            <v>fl oz/A</v>
          </cell>
          <cell r="H116" t="str">
            <v>R5</v>
          </cell>
        </row>
        <row r="117">
          <cell r="B117">
            <v>81</v>
          </cell>
          <cell r="C117" t="str">
            <v>Domark</v>
          </cell>
          <cell r="D117">
            <v>311</v>
          </cell>
          <cell r="E117">
            <v>261</v>
          </cell>
          <cell r="F117">
            <v>5</v>
          </cell>
          <cell r="G117" t="str">
            <v>fl oz/a</v>
          </cell>
          <cell r="H117" t="str">
            <v>R1</v>
          </cell>
          <cell r="I117">
            <v>68</v>
          </cell>
        </row>
        <row r="118">
          <cell r="C118" t="str">
            <v>Affiance</v>
          </cell>
          <cell r="F118">
            <v>10</v>
          </cell>
          <cell r="G118" t="str">
            <v>fl oz/a</v>
          </cell>
          <cell r="H118" t="str">
            <v>R3</v>
          </cell>
        </row>
        <row r="119">
          <cell r="B119">
            <v>82</v>
          </cell>
          <cell r="C119" t="str">
            <v>Domark</v>
          </cell>
          <cell r="D119">
            <v>13</v>
          </cell>
          <cell r="E119">
            <v>2826</v>
          </cell>
          <cell r="F119">
            <v>4</v>
          </cell>
          <cell r="G119" t="str">
            <v>fl oz/a</v>
          </cell>
          <cell r="H119" t="str">
            <v>R1</v>
          </cell>
          <cell r="I119">
            <v>6</v>
          </cell>
        </row>
        <row r="120">
          <cell r="C120" t="str">
            <v>TOPSIN-M</v>
          </cell>
          <cell r="F120">
            <v>0.75</v>
          </cell>
          <cell r="G120" t="str">
            <v>lb/a</v>
          </cell>
          <cell r="H120" t="str">
            <v>R1</v>
          </cell>
        </row>
        <row r="121">
          <cell r="B121">
            <v>83</v>
          </cell>
          <cell r="C121" t="str">
            <v>Domark</v>
          </cell>
          <cell r="D121">
            <v>13</v>
          </cell>
          <cell r="E121">
            <v>2826</v>
          </cell>
          <cell r="F121">
            <v>4</v>
          </cell>
          <cell r="G121" t="str">
            <v>fl oz/a</v>
          </cell>
          <cell r="H121" t="str">
            <v>R3</v>
          </cell>
          <cell r="I121">
            <v>8</v>
          </cell>
        </row>
        <row r="122">
          <cell r="C122" t="str">
            <v>TOPSIN-M</v>
          </cell>
          <cell r="F122">
            <v>0.75</v>
          </cell>
          <cell r="G122" t="str">
            <v>lb/a</v>
          </cell>
          <cell r="H122" t="str">
            <v>R3</v>
          </cell>
        </row>
        <row r="123">
          <cell r="B123">
            <v>84</v>
          </cell>
          <cell r="C123" t="str">
            <v>Echo 720</v>
          </cell>
          <cell r="D123" t="str">
            <v>M5</v>
          </cell>
          <cell r="E123">
            <v>5</v>
          </cell>
          <cell r="F123">
            <v>24</v>
          </cell>
          <cell r="G123" t="str">
            <v>fl oz/a</v>
          </cell>
          <cell r="H123" t="str">
            <v>R1</v>
          </cell>
          <cell r="I123">
            <v>6</v>
          </cell>
        </row>
        <row r="124">
          <cell r="B124">
            <v>85</v>
          </cell>
          <cell r="C124" t="str">
            <v>Endura</v>
          </cell>
          <cell r="D124">
            <v>7</v>
          </cell>
          <cell r="E124">
            <v>4</v>
          </cell>
          <cell r="F124">
            <v>4</v>
          </cell>
          <cell r="G124" t="str">
            <v>oz/a</v>
          </cell>
          <cell r="H124" t="str">
            <v>R1</v>
          </cell>
          <cell r="I124">
            <v>6</v>
          </cell>
        </row>
        <row r="125">
          <cell r="B125">
            <v>86</v>
          </cell>
          <cell r="C125" t="str">
            <v>Endura</v>
          </cell>
          <cell r="D125">
            <v>7</v>
          </cell>
          <cell r="E125">
            <v>4</v>
          </cell>
          <cell r="F125">
            <v>6</v>
          </cell>
          <cell r="G125" t="str">
            <v>oz/a</v>
          </cell>
          <cell r="H125" t="str">
            <v>V5</v>
          </cell>
          <cell r="I125">
            <v>5</v>
          </cell>
        </row>
        <row r="126">
          <cell r="B126">
            <v>87</v>
          </cell>
          <cell r="C126" t="str">
            <v>Endura</v>
          </cell>
          <cell r="D126">
            <v>7</v>
          </cell>
          <cell r="E126">
            <v>4</v>
          </cell>
          <cell r="F126">
            <v>6</v>
          </cell>
          <cell r="G126" t="str">
            <v>oz/a</v>
          </cell>
          <cell r="H126" t="str">
            <v>R1</v>
          </cell>
          <cell r="I126">
            <v>6</v>
          </cell>
        </row>
        <row r="127">
          <cell r="B127">
            <v>88</v>
          </cell>
          <cell r="C127" t="str">
            <v>Endura</v>
          </cell>
          <cell r="D127">
            <v>7</v>
          </cell>
          <cell r="E127">
            <v>4</v>
          </cell>
          <cell r="F127">
            <v>6</v>
          </cell>
          <cell r="G127" t="str">
            <v>oz/a</v>
          </cell>
          <cell r="H127" t="str">
            <v>R2</v>
          </cell>
          <cell r="I127">
            <v>7</v>
          </cell>
        </row>
        <row r="128">
          <cell r="B128">
            <v>89</v>
          </cell>
          <cell r="C128" t="str">
            <v>Endura</v>
          </cell>
          <cell r="D128">
            <v>7</v>
          </cell>
          <cell r="E128">
            <v>4</v>
          </cell>
          <cell r="F128">
            <v>8</v>
          </cell>
          <cell r="G128" t="str">
            <v>oz/a</v>
          </cell>
          <cell r="H128" t="str">
            <v>V5</v>
          </cell>
          <cell r="I128">
            <v>5</v>
          </cell>
        </row>
        <row r="129">
          <cell r="B129">
            <v>90</v>
          </cell>
          <cell r="C129" t="str">
            <v>Endura</v>
          </cell>
          <cell r="D129">
            <v>7</v>
          </cell>
          <cell r="E129">
            <v>4</v>
          </cell>
          <cell r="F129">
            <v>8</v>
          </cell>
          <cell r="G129" t="str">
            <v>oz/a</v>
          </cell>
          <cell r="H129" t="str">
            <v>R1</v>
          </cell>
          <cell r="I129">
            <v>6</v>
          </cell>
        </row>
        <row r="130">
          <cell r="B130">
            <v>91</v>
          </cell>
          <cell r="C130" t="str">
            <v>Endura</v>
          </cell>
          <cell r="D130">
            <v>7</v>
          </cell>
          <cell r="E130">
            <v>4</v>
          </cell>
          <cell r="F130">
            <v>8</v>
          </cell>
          <cell r="G130" t="str">
            <v>oz/a</v>
          </cell>
          <cell r="H130" t="str">
            <v>R2</v>
          </cell>
          <cell r="I130">
            <v>7</v>
          </cell>
        </row>
        <row r="131">
          <cell r="B131">
            <v>92</v>
          </cell>
          <cell r="C131" t="str">
            <v>Endura</v>
          </cell>
          <cell r="D131">
            <v>7</v>
          </cell>
          <cell r="E131">
            <v>4</v>
          </cell>
          <cell r="F131">
            <v>8</v>
          </cell>
          <cell r="G131" t="str">
            <v>oz/a</v>
          </cell>
          <cell r="H131" t="str">
            <v>R3</v>
          </cell>
          <cell r="I131">
            <v>8</v>
          </cell>
        </row>
        <row r="132">
          <cell r="B132">
            <v>93</v>
          </cell>
          <cell r="C132" t="str">
            <v>Endura</v>
          </cell>
          <cell r="D132">
            <v>7</v>
          </cell>
          <cell r="E132">
            <v>4</v>
          </cell>
          <cell r="F132">
            <v>8</v>
          </cell>
          <cell r="G132" t="str">
            <v>oz/a</v>
          </cell>
          <cell r="H132" t="str">
            <v>R4</v>
          </cell>
          <cell r="I132">
            <v>9</v>
          </cell>
        </row>
        <row r="133">
          <cell r="B133">
            <v>94</v>
          </cell>
          <cell r="C133" t="str">
            <v>Endura</v>
          </cell>
          <cell r="D133">
            <v>7</v>
          </cell>
          <cell r="E133">
            <v>4</v>
          </cell>
          <cell r="F133">
            <v>8</v>
          </cell>
          <cell r="G133" t="str">
            <v>oz/a</v>
          </cell>
          <cell r="H133" t="str">
            <v>R5</v>
          </cell>
          <cell r="I133">
            <v>10</v>
          </cell>
        </row>
        <row r="134">
          <cell r="B134">
            <v>95</v>
          </cell>
          <cell r="C134" t="str">
            <v>Endura</v>
          </cell>
          <cell r="D134">
            <v>7</v>
          </cell>
          <cell r="E134">
            <v>4</v>
          </cell>
          <cell r="F134">
            <v>11</v>
          </cell>
          <cell r="G134" t="str">
            <v>oz/a</v>
          </cell>
          <cell r="H134" t="str">
            <v>R1</v>
          </cell>
          <cell r="I134">
            <v>6</v>
          </cell>
        </row>
        <row r="135">
          <cell r="B135">
            <v>96</v>
          </cell>
          <cell r="C135" t="str">
            <v>Endura</v>
          </cell>
          <cell r="D135">
            <v>7</v>
          </cell>
          <cell r="E135">
            <v>4</v>
          </cell>
          <cell r="F135">
            <v>11</v>
          </cell>
          <cell r="G135" t="str">
            <v>oz/a</v>
          </cell>
          <cell r="H135" t="str">
            <v>R3</v>
          </cell>
          <cell r="I135">
            <v>8</v>
          </cell>
        </row>
        <row r="136">
          <cell r="B136">
            <v>97</v>
          </cell>
          <cell r="C136" t="str">
            <v>Endura</v>
          </cell>
          <cell r="D136">
            <v>7</v>
          </cell>
          <cell r="E136">
            <v>4</v>
          </cell>
          <cell r="F136">
            <v>5.5</v>
          </cell>
          <cell r="G136" t="str">
            <v>oz/a</v>
          </cell>
          <cell r="H136" t="str">
            <v>R1</v>
          </cell>
          <cell r="I136">
            <v>68</v>
          </cell>
        </row>
        <row r="137">
          <cell r="C137" t="str">
            <v>Endura</v>
          </cell>
          <cell r="F137">
            <v>5.5</v>
          </cell>
          <cell r="G137" t="str">
            <v>oz/a</v>
          </cell>
          <cell r="H137" t="str">
            <v>R3</v>
          </cell>
        </row>
        <row r="138">
          <cell r="B138">
            <v>98</v>
          </cell>
          <cell r="C138" t="str">
            <v>Endura</v>
          </cell>
          <cell r="D138">
            <v>7</v>
          </cell>
          <cell r="E138">
            <v>4</v>
          </cell>
          <cell r="F138">
            <v>6</v>
          </cell>
          <cell r="G138" t="str">
            <v>oz/a</v>
          </cell>
          <cell r="H138" t="str">
            <v>R1</v>
          </cell>
          <cell r="I138">
            <v>68</v>
          </cell>
        </row>
        <row r="139">
          <cell r="C139" t="str">
            <v>Endura</v>
          </cell>
          <cell r="F139">
            <v>6</v>
          </cell>
          <cell r="G139" t="str">
            <v>oz/a</v>
          </cell>
          <cell r="H139" t="str">
            <v>R3</v>
          </cell>
        </row>
        <row r="140">
          <cell r="B140">
            <v>99</v>
          </cell>
          <cell r="C140" t="str">
            <v>Endura</v>
          </cell>
          <cell r="D140">
            <v>7</v>
          </cell>
          <cell r="E140">
            <v>4</v>
          </cell>
          <cell r="F140">
            <v>8</v>
          </cell>
          <cell r="G140" t="str">
            <v>oz/a</v>
          </cell>
          <cell r="H140" t="str">
            <v>R1</v>
          </cell>
          <cell r="I140">
            <v>68</v>
          </cell>
        </row>
        <row r="141">
          <cell r="C141" t="str">
            <v>Endura</v>
          </cell>
          <cell r="F141">
            <v>8</v>
          </cell>
          <cell r="G141" t="str">
            <v>oz/a</v>
          </cell>
          <cell r="H141" t="str">
            <v>R3</v>
          </cell>
        </row>
        <row r="142">
          <cell r="B142">
            <v>100</v>
          </cell>
          <cell r="C142" t="str">
            <v>Endura</v>
          </cell>
          <cell r="D142">
            <v>7</v>
          </cell>
          <cell r="E142">
            <v>4</v>
          </cell>
          <cell r="F142">
            <v>11</v>
          </cell>
          <cell r="G142" t="str">
            <v>oz/a</v>
          </cell>
          <cell r="H142" t="str">
            <v>R1</v>
          </cell>
          <cell r="I142">
            <v>68</v>
          </cell>
        </row>
        <row r="143">
          <cell r="C143" t="str">
            <v>Endura</v>
          </cell>
          <cell r="F143">
            <v>11</v>
          </cell>
          <cell r="G143" t="str">
            <v>oz/a</v>
          </cell>
          <cell r="H143" t="str">
            <v>R3</v>
          </cell>
        </row>
        <row r="144">
          <cell r="B144">
            <v>101</v>
          </cell>
          <cell r="C144" t="str">
            <v>Endura</v>
          </cell>
          <cell r="D144">
            <v>711</v>
          </cell>
          <cell r="E144">
            <v>41624</v>
          </cell>
          <cell r="F144">
            <v>6</v>
          </cell>
          <cell r="G144" t="str">
            <v>oz/a</v>
          </cell>
          <cell r="H144" t="str">
            <v>R1</v>
          </cell>
          <cell r="I144">
            <v>6</v>
          </cell>
        </row>
        <row r="145">
          <cell r="C145" t="str">
            <v>Priaxor</v>
          </cell>
          <cell r="F145">
            <v>4</v>
          </cell>
          <cell r="G145" t="str">
            <v>oz/a</v>
          </cell>
          <cell r="H145" t="str">
            <v>R1</v>
          </cell>
        </row>
        <row r="146">
          <cell r="B146">
            <v>102</v>
          </cell>
          <cell r="C146" t="str">
            <v>Endura</v>
          </cell>
          <cell r="D146">
            <v>711</v>
          </cell>
          <cell r="E146">
            <v>41624</v>
          </cell>
          <cell r="F146">
            <v>6</v>
          </cell>
          <cell r="G146" t="str">
            <v>oz/a</v>
          </cell>
          <cell r="H146" t="str">
            <v>R1</v>
          </cell>
          <cell r="I146">
            <v>68</v>
          </cell>
        </row>
        <row r="147">
          <cell r="C147" t="str">
            <v>Priaxor</v>
          </cell>
          <cell r="F147">
            <v>4</v>
          </cell>
          <cell r="G147" t="str">
            <v>oz/a</v>
          </cell>
          <cell r="H147" t="str">
            <v>R3</v>
          </cell>
        </row>
        <row r="148">
          <cell r="B148">
            <v>103</v>
          </cell>
          <cell r="C148" t="str">
            <v>Endura</v>
          </cell>
          <cell r="D148">
            <v>711</v>
          </cell>
          <cell r="E148">
            <v>41624</v>
          </cell>
          <cell r="F148">
            <v>6</v>
          </cell>
          <cell r="G148" t="str">
            <v>oz/a</v>
          </cell>
          <cell r="H148" t="str">
            <v>R2</v>
          </cell>
          <cell r="I148">
            <v>78</v>
          </cell>
        </row>
        <row r="149">
          <cell r="C149" t="str">
            <v>Priaxor</v>
          </cell>
          <cell r="F149">
            <v>4</v>
          </cell>
          <cell r="G149" t="str">
            <v>oz/a</v>
          </cell>
          <cell r="H149" t="str">
            <v>R3</v>
          </cell>
        </row>
        <row r="150">
          <cell r="B150">
            <v>104</v>
          </cell>
          <cell r="C150" t="str">
            <v>Endura</v>
          </cell>
          <cell r="D150">
            <v>711</v>
          </cell>
          <cell r="E150">
            <v>41624</v>
          </cell>
          <cell r="F150">
            <v>6</v>
          </cell>
          <cell r="G150" t="str">
            <v>oz/a</v>
          </cell>
          <cell r="H150" t="str">
            <v>R1</v>
          </cell>
          <cell r="I150">
            <v>68</v>
          </cell>
        </row>
        <row r="151">
          <cell r="C151" t="str">
            <v>Endura</v>
          </cell>
          <cell r="F151">
            <v>6</v>
          </cell>
          <cell r="G151" t="str">
            <v>oz/a</v>
          </cell>
          <cell r="H151" t="str">
            <v>R3</v>
          </cell>
        </row>
        <row r="152">
          <cell r="C152" t="str">
            <v>Priaxor</v>
          </cell>
          <cell r="F152">
            <v>4</v>
          </cell>
          <cell r="G152" t="str">
            <v>oz/a</v>
          </cell>
          <cell r="H152" t="str">
            <v>R3</v>
          </cell>
        </row>
        <row r="153">
          <cell r="B153">
            <v>105</v>
          </cell>
          <cell r="C153" t="str">
            <v>Folicur</v>
          </cell>
          <cell r="D153">
            <v>3</v>
          </cell>
          <cell r="E153">
            <v>25</v>
          </cell>
          <cell r="F153">
            <v>4</v>
          </cell>
          <cell r="G153" t="str">
            <v>fl oz/A</v>
          </cell>
          <cell r="H153" t="str">
            <v>R1</v>
          </cell>
          <cell r="I153">
            <v>6</v>
          </cell>
        </row>
        <row r="154">
          <cell r="B154">
            <v>106</v>
          </cell>
          <cell r="C154" t="str">
            <v>Fortix</v>
          </cell>
          <cell r="D154">
            <v>311</v>
          </cell>
          <cell r="E154">
            <v>1415</v>
          </cell>
          <cell r="F154">
            <v>5</v>
          </cell>
          <cell r="G154" t="str">
            <v>fl oz/A</v>
          </cell>
          <cell r="H154" t="str">
            <v>R1</v>
          </cell>
          <cell r="I154">
            <v>6</v>
          </cell>
        </row>
        <row r="155">
          <cell r="B155">
            <v>107</v>
          </cell>
          <cell r="C155" t="str">
            <v>Fortix</v>
          </cell>
          <cell r="D155">
            <v>311</v>
          </cell>
          <cell r="E155">
            <v>1415</v>
          </cell>
          <cell r="F155">
            <v>5</v>
          </cell>
          <cell r="G155" t="str">
            <v>fl oz/A</v>
          </cell>
          <cell r="H155" t="str">
            <v>R2</v>
          </cell>
          <cell r="I155">
            <v>7</v>
          </cell>
        </row>
        <row r="156">
          <cell r="B156">
            <v>108</v>
          </cell>
          <cell r="C156" t="str">
            <v>Fortix</v>
          </cell>
          <cell r="D156">
            <v>311</v>
          </cell>
          <cell r="E156">
            <v>1415</v>
          </cell>
          <cell r="F156">
            <v>5</v>
          </cell>
          <cell r="G156" t="str">
            <v>fl oz/A</v>
          </cell>
          <cell r="H156" t="str">
            <v>R3</v>
          </cell>
          <cell r="I156">
            <v>8</v>
          </cell>
        </row>
        <row r="157">
          <cell r="B157">
            <v>109</v>
          </cell>
          <cell r="C157" t="str">
            <v>Fortix</v>
          </cell>
          <cell r="D157">
            <v>311</v>
          </cell>
          <cell r="E157">
            <v>1415</v>
          </cell>
          <cell r="F157">
            <v>6</v>
          </cell>
          <cell r="G157" t="str">
            <v>fl oz/A</v>
          </cell>
          <cell r="H157" t="str">
            <v>R1</v>
          </cell>
          <cell r="I157">
            <v>6</v>
          </cell>
        </row>
        <row r="158">
          <cell r="B158">
            <v>110</v>
          </cell>
          <cell r="C158" t="str">
            <v>Headline</v>
          </cell>
          <cell r="D158">
            <v>11</v>
          </cell>
          <cell r="E158">
            <v>24</v>
          </cell>
          <cell r="F158">
            <v>6</v>
          </cell>
          <cell r="G158" t="str">
            <v>fl oz/A</v>
          </cell>
          <cell r="H158" t="str">
            <v>R1</v>
          </cell>
          <cell r="I158">
            <v>6</v>
          </cell>
        </row>
        <row r="159">
          <cell r="B159">
            <v>111</v>
          </cell>
          <cell r="C159" t="str">
            <v>Headline</v>
          </cell>
          <cell r="D159">
            <v>11</v>
          </cell>
          <cell r="E159">
            <v>24</v>
          </cell>
          <cell r="F159">
            <v>8</v>
          </cell>
          <cell r="G159" t="str">
            <v>fl oz/A</v>
          </cell>
          <cell r="H159" t="str">
            <v>R1</v>
          </cell>
          <cell r="I159">
            <v>6</v>
          </cell>
        </row>
        <row r="160">
          <cell r="B160">
            <v>112</v>
          </cell>
          <cell r="C160" t="str">
            <v>Headline</v>
          </cell>
          <cell r="D160">
            <v>11</v>
          </cell>
          <cell r="E160">
            <v>24</v>
          </cell>
          <cell r="F160">
            <v>12</v>
          </cell>
          <cell r="G160" t="str">
            <v>fl oz/A</v>
          </cell>
          <cell r="H160" t="str">
            <v>R1</v>
          </cell>
          <cell r="I160">
            <v>6</v>
          </cell>
        </row>
        <row r="161">
          <cell r="B161">
            <v>113</v>
          </cell>
          <cell r="C161" t="str">
            <v>Headsup</v>
          </cell>
          <cell r="D161" t="str">
            <v>U</v>
          </cell>
          <cell r="E161" t="str">
            <v>U</v>
          </cell>
          <cell r="F161">
            <v>0.13500000000000001</v>
          </cell>
          <cell r="G161" t="str">
            <v>g ai/wt</v>
          </cell>
          <cell r="H161" t="str">
            <v>SETRLI</v>
          </cell>
          <cell r="I161">
            <v>1</v>
          </cell>
        </row>
        <row r="162">
          <cell r="B162">
            <v>114</v>
          </cell>
          <cell r="C162" t="str">
            <v>Headsup</v>
          </cell>
          <cell r="D162" t="str">
            <v>U</v>
          </cell>
          <cell r="E162" t="str">
            <v>U</v>
          </cell>
          <cell r="F162">
            <v>0.27</v>
          </cell>
          <cell r="G162" t="str">
            <v>g ai/wt</v>
          </cell>
          <cell r="H162" t="str">
            <v>SETRLI</v>
          </cell>
          <cell r="I162">
            <v>1</v>
          </cell>
        </row>
        <row r="163">
          <cell r="B163">
            <v>115</v>
          </cell>
          <cell r="C163" t="str">
            <v>Headsup</v>
          </cell>
          <cell r="D163" t="str">
            <v>U</v>
          </cell>
          <cell r="E163" t="str">
            <v>U</v>
          </cell>
          <cell r="F163">
            <v>0.54</v>
          </cell>
          <cell r="G163" t="str">
            <v>g ai/wt</v>
          </cell>
          <cell r="H163" t="str">
            <v>SETRLI</v>
          </cell>
          <cell r="I163">
            <v>1</v>
          </cell>
        </row>
        <row r="164">
          <cell r="B164">
            <v>116</v>
          </cell>
          <cell r="C164" t="str">
            <v>Headsup</v>
          </cell>
          <cell r="D164" t="str">
            <v>UI1412</v>
          </cell>
          <cell r="E164" t="str">
            <v>U271912</v>
          </cell>
          <cell r="F164">
            <v>0.13500000000000001</v>
          </cell>
          <cell r="G164" t="str">
            <v>g ai/wt</v>
          </cell>
          <cell r="H164" t="str">
            <v>SETRLI</v>
          </cell>
          <cell r="I164">
            <v>1</v>
          </cell>
        </row>
        <row r="165">
          <cell r="C165" t="str">
            <v>CruiserMaxx</v>
          </cell>
          <cell r="F165">
            <v>3</v>
          </cell>
          <cell r="G165" t="str">
            <v>fl oz/A</v>
          </cell>
          <cell r="H165" t="str">
            <v>SETRLI</v>
          </cell>
        </row>
        <row r="166">
          <cell r="B166">
            <v>117</v>
          </cell>
          <cell r="C166" t="str">
            <v>Headsup</v>
          </cell>
          <cell r="D166" t="str">
            <v>UI1412</v>
          </cell>
          <cell r="E166" t="str">
            <v>U271912</v>
          </cell>
          <cell r="F166">
            <v>0.27</v>
          </cell>
          <cell r="G166" t="str">
            <v>g ai/wt</v>
          </cell>
          <cell r="H166" t="str">
            <v>SETRLI</v>
          </cell>
          <cell r="I166">
            <v>1</v>
          </cell>
        </row>
        <row r="167">
          <cell r="C167" t="str">
            <v>CruiserMaxx</v>
          </cell>
          <cell r="F167">
            <v>3</v>
          </cell>
          <cell r="G167" t="str">
            <v>fl oz/A</v>
          </cell>
          <cell r="H167" t="str">
            <v>SETRLI</v>
          </cell>
        </row>
        <row r="168">
          <cell r="B168">
            <v>118</v>
          </cell>
          <cell r="C168" t="str">
            <v>Headsup</v>
          </cell>
          <cell r="D168" t="str">
            <v>UI1412</v>
          </cell>
          <cell r="E168" t="str">
            <v>U271912</v>
          </cell>
          <cell r="F168">
            <v>0.54</v>
          </cell>
          <cell r="G168" t="str">
            <v>g ai/wt</v>
          </cell>
          <cell r="H168" t="str">
            <v>SETRLI</v>
          </cell>
          <cell r="I168">
            <v>1</v>
          </cell>
        </row>
        <row r="169">
          <cell r="C169" t="str">
            <v>CruiserMaxx</v>
          </cell>
          <cell r="F169">
            <v>3</v>
          </cell>
          <cell r="G169" t="str">
            <v>fl oz/A</v>
          </cell>
          <cell r="H169" t="str">
            <v>SETRLI</v>
          </cell>
        </row>
        <row r="170">
          <cell r="B170">
            <v>119</v>
          </cell>
          <cell r="C170" t="str">
            <v>Headsup</v>
          </cell>
          <cell r="D170" t="str">
            <v>U</v>
          </cell>
          <cell r="E170" t="str">
            <v>U</v>
          </cell>
          <cell r="F170">
            <v>3.78</v>
          </cell>
          <cell r="G170" t="str">
            <v>g ai/gal</v>
          </cell>
          <cell r="H170" t="str">
            <v>V1</v>
          </cell>
          <cell r="I170">
            <v>2</v>
          </cell>
        </row>
        <row r="171">
          <cell r="B171">
            <v>120</v>
          </cell>
          <cell r="C171" t="str">
            <v>Incognito</v>
          </cell>
          <cell r="D171">
            <v>1</v>
          </cell>
          <cell r="E171">
            <v>28</v>
          </cell>
          <cell r="F171">
            <v>8</v>
          </cell>
          <cell r="G171" t="str">
            <v>fl oz/A</v>
          </cell>
          <cell r="H171" t="str">
            <v>R1</v>
          </cell>
          <cell r="I171">
            <v>6</v>
          </cell>
        </row>
        <row r="172">
          <cell r="B172">
            <v>121</v>
          </cell>
          <cell r="C172" t="str">
            <v>Incognito</v>
          </cell>
          <cell r="D172">
            <v>1</v>
          </cell>
          <cell r="E172">
            <v>28</v>
          </cell>
          <cell r="F172">
            <v>12</v>
          </cell>
          <cell r="G172" t="str">
            <v>fl oz/A</v>
          </cell>
          <cell r="H172" t="str">
            <v>R1</v>
          </cell>
          <cell r="I172">
            <v>6</v>
          </cell>
        </row>
        <row r="173">
          <cell r="B173">
            <v>122</v>
          </cell>
          <cell r="C173" t="str">
            <v>Incognito</v>
          </cell>
          <cell r="D173">
            <v>1</v>
          </cell>
          <cell r="E173">
            <v>28</v>
          </cell>
          <cell r="F173">
            <v>16</v>
          </cell>
          <cell r="G173" t="str">
            <v>fl oz/A</v>
          </cell>
          <cell r="H173" t="str">
            <v>R1</v>
          </cell>
          <cell r="I173">
            <v>6</v>
          </cell>
        </row>
        <row r="174">
          <cell r="B174">
            <v>123</v>
          </cell>
          <cell r="C174" t="str">
            <v>Incognito</v>
          </cell>
          <cell r="D174">
            <v>1</v>
          </cell>
          <cell r="E174">
            <v>28</v>
          </cell>
          <cell r="F174">
            <v>20</v>
          </cell>
          <cell r="G174" t="str">
            <v>fl oz/A</v>
          </cell>
          <cell r="H174" t="str">
            <v>R1</v>
          </cell>
          <cell r="I174">
            <v>6</v>
          </cell>
        </row>
        <row r="175">
          <cell r="B175">
            <v>124</v>
          </cell>
          <cell r="C175" t="str">
            <v>Incognito</v>
          </cell>
          <cell r="D175">
            <v>1</v>
          </cell>
          <cell r="E175">
            <v>28</v>
          </cell>
          <cell r="F175">
            <v>20</v>
          </cell>
          <cell r="G175" t="str">
            <v>fl oz/A</v>
          </cell>
          <cell r="H175" t="str">
            <v>R1</v>
          </cell>
          <cell r="I175">
            <v>68</v>
          </cell>
        </row>
        <row r="176">
          <cell r="C176" t="str">
            <v>Incognito</v>
          </cell>
          <cell r="F176">
            <v>20</v>
          </cell>
          <cell r="G176" t="str">
            <v>fl oz/A</v>
          </cell>
          <cell r="H176" t="str">
            <v>R3</v>
          </cell>
        </row>
        <row r="177">
          <cell r="B177">
            <v>125</v>
          </cell>
          <cell r="C177" t="str">
            <v>Incognito</v>
          </cell>
          <cell r="D177">
            <v>1311</v>
          </cell>
          <cell r="E177">
            <v>28125</v>
          </cell>
          <cell r="F177">
            <v>20</v>
          </cell>
          <cell r="G177" t="str">
            <v>fl oz/A</v>
          </cell>
          <cell r="H177" t="str">
            <v>R1</v>
          </cell>
          <cell r="I177">
            <v>68</v>
          </cell>
        </row>
        <row r="178">
          <cell r="C178" t="str">
            <v>Custodia</v>
          </cell>
          <cell r="F178">
            <v>8.6</v>
          </cell>
          <cell r="G178" t="str">
            <v>fl oz/A</v>
          </cell>
          <cell r="H178" t="str">
            <v>R3</v>
          </cell>
        </row>
        <row r="179">
          <cell r="B179">
            <v>126</v>
          </cell>
          <cell r="C179" t="str">
            <v>Incognito</v>
          </cell>
          <cell r="D179">
            <v>13</v>
          </cell>
          <cell r="E179">
            <v>2825</v>
          </cell>
          <cell r="F179">
            <v>20</v>
          </cell>
          <cell r="G179" t="str">
            <v>fl oz/A</v>
          </cell>
          <cell r="H179" t="str">
            <v>R1</v>
          </cell>
          <cell r="I179">
            <v>68</v>
          </cell>
        </row>
        <row r="180">
          <cell r="C180" t="str">
            <v>Orius 3.6F</v>
          </cell>
          <cell r="F180">
            <v>4</v>
          </cell>
          <cell r="G180" t="str">
            <v>fl oz/A</v>
          </cell>
          <cell r="H180" t="str">
            <v>R3</v>
          </cell>
        </row>
        <row r="181">
          <cell r="B181">
            <v>127</v>
          </cell>
          <cell r="C181" t="str">
            <v>Incognito</v>
          </cell>
          <cell r="D181">
            <v>111</v>
          </cell>
          <cell r="E181">
            <v>281</v>
          </cell>
          <cell r="F181">
            <v>8</v>
          </cell>
          <cell r="G181" t="str">
            <v>fl oz/A</v>
          </cell>
          <cell r="H181" t="str">
            <v>R1</v>
          </cell>
          <cell r="I181">
            <v>6</v>
          </cell>
        </row>
        <row r="182">
          <cell r="C182" t="str">
            <v>Quadris</v>
          </cell>
          <cell r="F182">
            <v>6</v>
          </cell>
          <cell r="G182" t="str">
            <v>fl oz/A</v>
          </cell>
          <cell r="H182" t="str">
            <v>R1</v>
          </cell>
        </row>
        <row r="183">
          <cell r="B183">
            <v>128</v>
          </cell>
          <cell r="C183" t="str">
            <v>Incognito</v>
          </cell>
          <cell r="D183">
            <v>111</v>
          </cell>
          <cell r="E183">
            <v>281</v>
          </cell>
          <cell r="F183">
            <v>8</v>
          </cell>
          <cell r="G183" t="str">
            <v>fl oz/A</v>
          </cell>
          <cell r="H183" t="str">
            <v>R1</v>
          </cell>
          <cell r="I183">
            <v>6</v>
          </cell>
        </row>
        <row r="184">
          <cell r="C184" t="str">
            <v>Quadris</v>
          </cell>
          <cell r="F184">
            <v>10</v>
          </cell>
          <cell r="G184" t="str">
            <v>fl oz/A</v>
          </cell>
          <cell r="H184" t="str">
            <v>R1</v>
          </cell>
        </row>
        <row r="185">
          <cell r="B185">
            <v>129</v>
          </cell>
          <cell r="C185" t="str">
            <v>Incognito</v>
          </cell>
          <cell r="D185">
            <v>111</v>
          </cell>
          <cell r="E185">
            <v>281</v>
          </cell>
          <cell r="F185">
            <v>12</v>
          </cell>
          <cell r="G185" t="str">
            <v>fl oz/A</v>
          </cell>
          <cell r="H185" t="str">
            <v>R1</v>
          </cell>
          <cell r="I185">
            <v>6</v>
          </cell>
        </row>
        <row r="186">
          <cell r="C186" t="str">
            <v>Quadris</v>
          </cell>
          <cell r="F186">
            <v>6</v>
          </cell>
          <cell r="G186" t="str">
            <v>fl oz/A</v>
          </cell>
          <cell r="H186" t="str">
            <v>R1</v>
          </cell>
        </row>
        <row r="187">
          <cell r="B187">
            <v>130</v>
          </cell>
          <cell r="C187" t="str">
            <v>Incognito</v>
          </cell>
          <cell r="D187">
            <v>111</v>
          </cell>
          <cell r="E187">
            <v>281</v>
          </cell>
          <cell r="F187">
            <v>12</v>
          </cell>
          <cell r="G187" t="str">
            <v>fl oz/A</v>
          </cell>
          <cell r="H187" t="str">
            <v>R1</v>
          </cell>
          <cell r="I187">
            <v>6</v>
          </cell>
        </row>
        <row r="188">
          <cell r="C188" t="str">
            <v>Quadris</v>
          </cell>
          <cell r="F188">
            <v>10</v>
          </cell>
          <cell r="G188" t="str">
            <v>fl oz/A</v>
          </cell>
          <cell r="H188" t="str">
            <v>R1</v>
          </cell>
        </row>
        <row r="189">
          <cell r="B189">
            <v>131</v>
          </cell>
          <cell r="C189" t="str">
            <v>Incognito</v>
          </cell>
          <cell r="D189">
            <v>111</v>
          </cell>
          <cell r="E189">
            <v>281</v>
          </cell>
          <cell r="F189">
            <v>16</v>
          </cell>
          <cell r="G189" t="str">
            <v>fl oz/A</v>
          </cell>
          <cell r="H189" t="str">
            <v>R1</v>
          </cell>
          <cell r="I189">
            <v>6</v>
          </cell>
        </row>
        <row r="190">
          <cell r="C190" t="str">
            <v>Quadris</v>
          </cell>
          <cell r="F190">
            <v>6</v>
          </cell>
          <cell r="G190" t="str">
            <v>fl oz/A</v>
          </cell>
          <cell r="H190" t="str">
            <v>R1</v>
          </cell>
        </row>
        <row r="191">
          <cell r="B191">
            <v>132</v>
          </cell>
          <cell r="C191" t="str">
            <v>Incognito</v>
          </cell>
          <cell r="D191">
            <v>111</v>
          </cell>
          <cell r="E191">
            <v>281</v>
          </cell>
          <cell r="F191">
            <v>16</v>
          </cell>
          <cell r="G191" t="str">
            <v>fl oz/A</v>
          </cell>
          <cell r="H191" t="str">
            <v>R1</v>
          </cell>
          <cell r="I191">
            <v>6</v>
          </cell>
        </row>
        <row r="192">
          <cell r="C192" t="str">
            <v>Quadris</v>
          </cell>
          <cell r="F192">
            <v>10</v>
          </cell>
          <cell r="G192" t="str">
            <v>fl oz/A</v>
          </cell>
          <cell r="H192" t="str">
            <v>R1</v>
          </cell>
        </row>
        <row r="193">
          <cell r="B193">
            <v>133</v>
          </cell>
          <cell r="C193" t="str">
            <v>Lorsban 4E</v>
          </cell>
          <cell r="D193" t="str">
            <v>I</v>
          </cell>
          <cell r="E193">
            <v>6</v>
          </cell>
          <cell r="F193">
            <v>2</v>
          </cell>
          <cell r="G193" t="str">
            <v>pt/A</v>
          </cell>
          <cell r="H193" t="str">
            <v>R1</v>
          </cell>
          <cell r="I193">
            <v>6</v>
          </cell>
        </row>
        <row r="194">
          <cell r="B194">
            <v>134</v>
          </cell>
          <cell r="C194" t="str">
            <v>Lorsban Advanced</v>
          </cell>
          <cell r="D194" t="str">
            <v>I</v>
          </cell>
          <cell r="E194">
            <v>6</v>
          </cell>
          <cell r="F194">
            <v>2</v>
          </cell>
          <cell r="G194" t="str">
            <v>pt/A</v>
          </cell>
          <cell r="H194" t="str">
            <v>R1</v>
          </cell>
          <cell r="I194">
            <v>6</v>
          </cell>
        </row>
        <row r="195">
          <cell r="B195">
            <v>135</v>
          </cell>
          <cell r="C195" t="str">
            <v>Mazinga</v>
          </cell>
          <cell r="D195" t="str">
            <v>3M5</v>
          </cell>
          <cell r="E195">
            <v>265</v>
          </cell>
          <cell r="F195">
            <v>32</v>
          </cell>
          <cell r="G195" t="str">
            <v>fl oz/a</v>
          </cell>
          <cell r="H195" t="str">
            <v>R1</v>
          </cell>
          <cell r="I195">
            <v>6</v>
          </cell>
        </row>
        <row r="196">
          <cell r="B196">
            <v>136</v>
          </cell>
          <cell r="C196" t="str">
            <v xml:space="preserve">Omega </v>
          </cell>
          <cell r="D196">
            <v>371129</v>
          </cell>
          <cell r="E196">
            <v>111221</v>
          </cell>
          <cell r="F196">
            <v>12</v>
          </cell>
          <cell r="G196" t="str">
            <v>fl oz/A</v>
          </cell>
          <cell r="H196" t="str">
            <v>R1</v>
          </cell>
          <cell r="I196">
            <v>68</v>
          </cell>
        </row>
        <row r="197">
          <cell r="C197" t="str">
            <v>Trivapro</v>
          </cell>
          <cell r="F197">
            <v>14.6</v>
          </cell>
          <cell r="G197" t="str">
            <v>fl oz/A</v>
          </cell>
          <cell r="H197" t="str">
            <v>R3</v>
          </cell>
        </row>
        <row r="198">
          <cell r="B198">
            <v>137</v>
          </cell>
          <cell r="C198" t="str">
            <v xml:space="preserve">Omega </v>
          </cell>
          <cell r="D198">
            <v>29</v>
          </cell>
          <cell r="E198">
            <v>11</v>
          </cell>
          <cell r="F198">
            <v>8</v>
          </cell>
          <cell r="G198" t="str">
            <v>fl oz/a</v>
          </cell>
          <cell r="H198" t="str">
            <v>R1</v>
          </cell>
          <cell r="I198">
            <v>6</v>
          </cell>
        </row>
        <row r="199">
          <cell r="B199">
            <v>138</v>
          </cell>
          <cell r="C199" t="str">
            <v xml:space="preserve">Omega </v>
          </cell>
          <cell r="D199">
            <v>29</v>
          </cell>
          <cell r="E199">
            <v>11</v>
          </cell>
          <cell r="F199">
            <v>12</v>
          </cell>
          <cell r="G199" t="str">
            <v>fl oz/a</v>
          </cell>
          <cell r="H199" t="str">
            <v>R1</v>
          </cell>
          <cell r="I199">
            <v>6</v>
          </cell>
        </row>
        <row r="200">
          <cell r="B200">
            <v>139</v>
          </cell>
          <cell r="C200" t="str">
            <v xml:space="preserve">Omega </v>
          </cell>
          <cell r="D200">
            <v>29</v>
          </cell>
          <cell r="E200">
            <v>11</v>
          </cell>
          <cell r="F200">
            <v>13.7</v>
          </cell>
          <cell r="G200" t="str">
            <v>fl oz/a</v>
          </cell>
          <cell r="H200" t="str">
            <v>R1</v>
          </cell>
          <cell r="I200">
            <v>6</v>
          </cell>
        </row>
        <row r="201">
          <cell r="B201">
            <v>140</v>
          </cell>
          <cell r="C201" t="str">
            <v xml:space="preserve">Omega </v>
          </cell>
          <cell r="D201">
            <v>29</v>
          </cell>
          <cell r="E201">
            <v>11</v>
          </cell>
          <cell r="F201">
            <v>16</v>
          </cell>
          <cell r="G201" t="str">
            <v>fl oz/a</v>
          </cell>
          <cell r="H201" t="str">
            <v>R1</v>
          </cell>
          <cell r="I201">
            <v>6</v>
          </cell>
        </row>
        <row r="202">
          <cell r="B202">
            <v>141</v>
          </cell>
          <cell r="C202" t="str">
            <v xml:space="preserve">Omega </v>
          </cell>
          <cell r="D202">
            <v>29</v>
          </cell>
          <cell r="E202">
            <v>11</v>
          </cell>
          <cell r="F202">
            <v>12</v>
          </cell>
          <cell r="G202" t="str">
            <v>fl oz/a</v>
          </cell>
          <cell r="H202" t="str">
            <v>R1</v>
          </cell>
          <cell r="I202">
            <v>68</v>
          </cell>
        </row>
        <row r="203">
          <cell r="C203" t="str">
            <v xml:space="preserve">Omega </v>
          </cell>
          <cell r="F203">
            <v>12</v>
          </cell>
          <cell r="G203" t="str">
            <v>fl oz/a</v>
          </cell>
          <cell r="H203" t="str">
            <v>R3</v>
          </cell>
        </row>
        <row r="204">
          <cell r="B204">
            <v>142</v>
          </cell>
          <cell r="C204" t="str">
            <v xml:space="preserve">Omega </v>
          </cell>
          <cell r="D204">
            <v>1129</v>
          </cell>
          <cell r="E204">
            <v>1124</v>
          </cell>
          <cell r="F204">
            <v>12</v>
          </cell>
          <cell r="G204" t="str">
            <v>fl oz/a</v>
          </cell>
          <cell r="H204" t="str">
            <v>R1</v>
          </cell>
          <cell r="I204">
            <v>6</v>
          </cell>
        </row>
        <row r="205">
          <cell r="C205" t="str">
            <v>Headline</v>
          </cell>
          <cell r="F205">
            <v>6</v>
          </cell>
          <cell r="G205" t="str">
            <v>fl oz/a</v>
          </cell>
          <cell r="H205" t="str">
            <v>R1</v>
          </cell>
        </row>
        <row r="206">
          <cell r="B206">
            <v>143</v>
          </cell>
          <cell r="C206" t="str">
            <v xml:space="preserve">Omega </v>
          </cell>
          <cell r="D206">
            <v>1129</v>
          </cell>
          <cell r="E206">
            <v>1124</v>
          </cell>
          <cell r="F206">
            <v>12</v>
          </cell>
          <cell r="G206" t="str">
            <v>fl oz/a</v>
          </cell>
          <cell r="H206" t="str">
            <v>R1</v>
          </cell>
          <cell r="I206">
            <v>6</v>
          </cell>
        </row>
        <row r="207">
          <cell r="C207" t="str">
            <v>Headline</v>
          </cell>
          <cell r="F207">
            <v>12</v>
          </cell>
          <cell r="G207" t="str">
            <v>fl oz/a</v>
          </cell>
          <cell r="H207" t="str">
            <v>R1</v>
          </cell>
        </row>
        <row r="208">
          <cell r="B208">
            <v>144</v>
          </cell>
          <cell r="C208" t="str">
            <v xml:space="preserve">Omega </v>
          </cell>
          <cell r="D208">
            <v>129</v>
          </cell>
          <cell r="E208">
            <v>1128</v>
          </cell>
          <cell r="F208">
            <v>12</v>
          </cell>
          <cell r="G208" t="str">
            <v>fl oz/a</v>
          </cell>
          <cell r="H208" t="str">
            <v>R1</v>
          </cell>
          <cell r="I208">
            <v>6</v>
          </cell>
        </row>
        <row r="209">
          <cell r="C209" t="str">
            <v>Incognito</v>
          </cell>
          <cell r="F209">
            <v>10</v>
          </cell>
          <cell r="G209" t="str">
            <v>fl oz/a</v>
          </cell>
          <cell r="H209" t="str">
            <v>R1</v>
          </cell>
        </row>
        <row r="210">
          <cell r="B210">
            <v>145</v>
          </cell>
          <cell r="C210" t="str">
            <v xml:space="preserve">Omega </v>
          </cell>
          <cell r="D210">
            <v>129</v>
          </cell>
          <cell r="E210">
            <v>1128</v>
          </cell>
          <cell r="F210">
            <v>12</v>
          </cell>
          <cell r="G210" t="str">
            <v>fl oz/a</v>
          </cell>
          <cell r="H210" t="str">
            <v>R1</v>
          </cell>
          <cell r="I210">
            <v>6</v>
          </cell>
        </row>
        <row r="211">
          <cell r="C211" t="str">
            <v>Incognito</v>
          </cell>
          <cell r="F211">
            <v>20</v>
          </cell>
          <cell r="G211" t="str">
            <v>fl oz/a</v>
          </cell>
          <cell r="H211" t="str">
            <v>R1</v>
          </cell>
        </row>
        <row r="212">
          <cell r="B212">
            <v>146</v>
          </cell>
          <cell r="C212" t="str">
            <v xml:space="preserve">Omega </v>
          </cell>
          <cell r="D212">
            <v>31129</v>
          </cell>
          <cell r="E212">
            <v>11121</v>
          </cell>
          <cell r="F212">
            <v>12</v>
          </cell>
          <cell r="G212" t="str">
            <v>fl oz/a</v>
          </cell>
          <cell r="H212" t="str">
            <v>R1</v>
          </cell>
          <cell r="I212">
            <v>68</v>
          </cell>
        </row>
        <row r="213">
          <cell r="C213" t="str">
            <v>Quilt Xcel</v>
          </cell>
          <cell r="F213">
            <v>10.5</v>
          </cell>
          <cell r="G213" t="str">
            <v>fl oz/a</v>
          </cell>
          <cell r="H213" t="str">
            <v>R3</v>
          </cell>
        </row>
        <row r="214">
          <cell r="B214">
            <v>147</v>
          </cell>
          <cell r="C214" t="str">
            <v xml:space="preserve">Omega </v>
          </cell>
          <cell r="D214">
            <v>371129</v>
          </cell>
          <cell r="E214">
            <v>111221</v>
          </cell>
          <cell r="F214">
            <v>8</v>
          </cell>
          <cell r="G214" t="str">
            <v>fl oz/a</v>
          </cell>
          <cell r="H214" t="str">
            <v>R1</v>
          </cell>
          <cell r="I214">
            <v>68</v>
          </cell>
        </row>
        <row r="215">
          <cell r="C215" t="str">
            <v>Trivapro</v>
          </cell>
          <cell r="F215">
            <v>14.5</v>
          </cell>
          <cell r="G215" t="str">
            <v>fl oz/a</v>
          </cell>
          <cell r="H215" t="str">
            <v>R3</v>
          </cell>
        </row>
        <row r="216">
          <cell r="B216">
            <v>148</v>
          </cell>
          <cell r="C216" t="str">
            <v xml:space="preserve">Omega </v>
          </cell>
          <cell r="D216" t="str">
            <v>NA129</v>
          </cell>
          <cell r="E216" t="str">
            <v>U1128</v>
          </cell>
          <cell r="F216">
            <v>12</v>
          </cell>
          <cell r="G216" t="str">
            <v>fl oz/a</v>
          </cell>
          <cell r="H216" t="str">
            <v>R1</v>
          </cell>
          <cell r="I216">
            <v>6</v>
          </cell>
        </row>
        <row r="217">
          <cell r="C217" t="str">
            <v>Incognito</v>
          </cell>
          <cell r="F217">
            <v>20</v>
          </cell>
          <cell r="G217" t="str">
            <v>fl oz/a</v>
          </cell>
          <cell r="H217" t="str">
            <v>R1</v>
          </cell>
        </row>
        <row r="218">
          <cell r="C218" t="str">
            <v>ADAMA BS1</v>
          </cell>
          <cell r="F218">
            <v>6.8</v>
          </cell>
          <cell r="G218" t="str">
            <v>fl oz/a</v>
          </cell>
          <cell r="H218" t="str">
            <v>R1</v>
          </cell>
        </row>
        <row r="219">
          <cell r="B219">
            <v>149</v>
          </cell>
          <cell r="C219" t="str">
            <v>Poacic Acid</v>
          </cell>
          <cell r="D219" t="str">
            <v>NA</v>
          </cell>
          <cell r="E219" t="str">
            <v>U</v>
          </cell>
          <cell r="F219">
            <v>1000</v>
          </cell>
          <cell r="G219" t="str">
            <v>ppm</v>
          </cell>
          <cell r="H219" t="str">
            <v>R1</v>
          </cell>
          <cell r="I219">
            <v>6</v>
          </cell>
        </row>
        <row r="220">
          <cell r="B220">
            <v>150</v>
          </cell>
          <cell r="C220" t="str">
            <v>Poacic Acid</v>
          </cell>
          <cell r="D220" t="str">
            <v>NA</v>
          </cell>
          <cell r="E220" t="str">
            <v>U</v>
          </cell>
          <cell r="F220">
            <v>1500</v>
          </cell>
          <cell r="G220" t="str">
            <v>ppm</v>
          </cell>
          <cell r="H220" t="str">
            <v>R1</v>
          </cell>
          <cell r="I220">
            <v>6</v>
          </cell>
        </row>
        <row r="221">
          <cell r="B221">
            <v>151</v>
          </cell>
          <cell r="C221" t="str">
            <v>Priaxor</v>
          </cell>
          <cell r="D221">
            <v>711</v>
          </cell>
          <cell r="E221">
            <v>1624</v>
          </cell>
          <cell r="F221">
            <v>4</v>
          </cell>
          <cell r="G221" t="str">
            <v>fl oz/A</v>
          </cell>
          <cell r="H221" t="str">
            <v>R1</v>
          </cell>
          <cell r="I221">
            <v>6</v>
          </cell>
        </row>
        <row r="222">
          <cell r="B222">
            <v>152</v>
          </cell>
          <cell r="C222" t="str">
            <v>Priaxor</v>
          </cell>
          <cell r="D222">
            <v>711</v>
          </cell>
          <cell r="E222">
            <v>1624</v>
          </cell>
          <cell r="F222">
            <v>4</v>
          </cell>
          <cell r="G222" t="str">
            <v>fl oz/A</v>
          </cell>
          <cell r="H222" t="str">
            <v>R2</v>
          </cell>
          <cell r="I222">
            <v>7</v>
          </cell>
        </row>
        <row r="223">
          <cell r="B223">
            <v>153</v>
          </cell>
          <cell r="C223" t="str">
            <v>Priaxor</v>
          </cell>
          <cell r="D223">
            <v>711</v>
          </cell>
          <cell r="E223">
            <v>1624</v>
          </cell>
          <cell r="F223">
            <v>4</v>
          </cell>
          <cell r="G223" t="str">
            <v>fl oz/A</v>
          </cell>
          <cell r="H223" t="str">
            <v>R3</v>
          </cell>
          <cell r="I223">
            <v>8</v>
          </cell>
        </row>
        <row r="224">
          <cell r="B224">
            <v>154</v>
          </cell>
          <cell r="C224" t="str">
            <v>Priaxor</v>
          </cell>
          <cell r="D224">
            <v>711</v>
          </cell>
          <cell r="E224">
            <v>1624</v>
          </cell>
          <cell r="F224">
            <v>8</v>
          </cell>
          <cell r="G224" t="str">
            <v>fl oz/A</v>
          </cell>
          <cell r="H224" t="str">
            <v>R1</v>
          </cell>
          <cell r="I224">
            <v>6</v>
          </cell>
        </row>
        <row r="225">
          <cell r="B225">
            <v>155</v>
          </cell>
          <cell r="C225" t="str">
            <v>Priaxor</v>
          </cell>
          <cell r="D225">
            <v>3711</v>
          </cell>
          <cell r="E225">
            <v>162426</v>
          </cell>
          <cell r="F225">
            <v>4</v>
          </cell>
          <cell r="G225" t="str">
            <v>fl oz/A</v>
          </cell>
          <cell r="H225" t="str">
            <v>R1</v>
          </cell>
          <cell r="I225">
            <v>6</v>
          </cell>
        </row>
        <row r="226">
          <cell r="C226" t="str">
            <v>Domark</v>
          </cell>
          <cell r="F226">
            <v>4</v>
          </cell>
          <cell r="G226" t="str">
            <v>fl oz/A</v>
          </cell>
          <cell r="H226" t="str">
            <v>R1</v>
          </cell>
        </row>
        <row r="227">
          <cell r="B227">
            <v>156</v>
          </cell>
          <cell r="C227" t="str">
            <v>Proline</v>
          </cell>
          <cell r="D227">
            <v>3</v>
          </cell>
          <cell r="E227">
            <v>22</v>
          </cell>
          <cell r="F227">
            <v>3</v>
          </cell>
          <cell r="G227" t="str">
            <v>fl oz/A</v>
          </cell>
          <cell r="H227" t="str">
            <v>R1</v>
          </cell>
          <cell r="I227">
            <v>6</v>
          </cell>
        </row>
        <row r="228">
          <cell r="B228">
            <v>157</v>
          </cell>
          <cell r="C228" t="str">
            <v>Proline</v>
          </cell>
          <cell r="D228">
            <v>3</v>
          </cell>
          <cell r="E228">
            <v>22</v>
          </cell>
          <cell r="F228">
            <v>3</v>
          </cell>
          <cell r="G228" t="str">
            <v>fl oz/a</v>
          </cell>
          <cell r="H228" t="str">
            <v>R2</v>
          </cell>
          <cell r="I228">
            <v>7</v>
          </cell>
        </row>
        <row r="229">
          <cell r="B229">
            <v>158</v>
          </cell>
          <cell r="C229" t="str">
            <v>Proline</v>
          </cell>
          <cell r="D229">
            <v>3</v>
          </cell>
          <cell r="E229">
            <v>22</v>
          </cell>
          <cell r="F229">
            <v>5</v>
          </cell>
          <cell r="G229" t="str">
            <v>fl oz/A</v>
          </cell>
          <cell r="H229" t="str">
            <v>R1</v>
          </cell>
          <cell r="I229">
            <v>3</v>
          </cell>
        </row>
        <row r="230">
          <cell r="B230">
            <v>159</v>
          </cell>
          <cell r="C230" t="str">
            <v>Proline</v>
          </cell>
          <cell r="D230">
            <v>3</v>
          </cell>
          <cell r="E230">
            <v>22</v>
          </cell>
          <cell r="F230">
            <v>5</v>
          </cell>
          <cell r="G230" t="str">
            <v>fl oz/A</v>
          </cell>
          <cell r="H230" t="str">
            <v>R2</v>
          </cell>
          <cell r="I230">
            <v>7</v>
          </cell>
        </row>
        <row r="231">
          <cell r="B231">
            <v>160</v>
          </cell>
          <cell r="C231" t="str">
            <v>Proline</v>
          </cell>
          <cell r="D231">
            <v>3</v>
          </cell>
          <cell r="E231">
            <v>22</v>
          </cell>
          <cell r="F231">
            <v>5</v>
          </cell>
          <cell r="G231" t="str">
            <v>fl oz/a</v>
          </cell>
          <cell r="H231" t="str">
            <v>R3</v>
          </cell>
          <cell r="I231">
            <v>8</v>
          </cell>
        </row>
        <row r="232">
          <cell r="B232">
            <v>161</v>
          </cell>
          <cell r="C232" t="str">
            <v>Proline</v>
          </cell>
          <cell r="D232">
            <v>3</v>
          </cell>
          <cell r="E232">
            <v>22</v>
          </cell>
          <cell r="F232">
            <v>5</v>
          </cell>
          <cell r="G232" t="str">
            <v>fl oz/A</v>
          </cell>
          <cell r="H232" t="str">
            <v>R4</v>
          </cell>
          <cell r="I232">
            <v>9</v>
          </cell>
        </row>
        <row r="233">
          <cell r="B233">
            <v>162</v>
          </cell>
          <cell r="C233" t="str">
            <v>Proline</v>
          </cell>
          <cell r="D233">
            <v>3</v>
          </cell>
          <cell r="E233">
            <v>22</v>
          </cell>
          <cell r="F233">
            <v>5</v>
          </cell>
          <cell r="G233" t="str">
            <v>fl oz/a</v>
          </cell>
          <cell r="H233" t="str">
            <v>R5</v>
          </cell>
          <cell r="I233">
            <v>10</v>
          </cell>
        </row>
        <row r="234">
          <cell r="B234">
            <v>163</v>
          </cell>
          <cell r="C234" t="str">
            <v>Proline</v>
          </cell>
          <cell r="D234">
            <v>3</v>
          </cell>
          <cell r="E234">
            <v>22</v>
          </cell>
          <cell r="F234">
            <v>3</v>
          </cell>
          <cell r="G234" t="str">
            <v>fl oz/A</v>
          </cell>
          <cell r="H234" t="str">
            <v>R1</v>
          </cell>
          <cell r="I234">
            <v>68</v>
          </cell>
        </row>
        <row r="235">
          <cell r="C235" t="str">
            <v>Proline</v>
          </cell>
          <cell r="F235">
            <v>3</v>
          </cell>
          <cell r="G235" t="str">
            <v>fl oz/a</v>
          </cell>
          <cell r="H235" t="str">
            <v>R3</v>
          </cell>
        </row>
        <row r="236">
          <cell r="B236">
            <v>164</v>
          </cell>
          <cell r="C236" t="str">
            <v>Proline</v>
          </cell>
          <cell r="D236">
            <v>3</v>
          </cell>
          <cell r="E236">
            <v>22</v>
          </cell>
          <cell r="F236">
            <v>5</v>
          </cell>
          <cell r="G236" t="str">
            <v>fl oz/A</v>
          </cell>
          <cell r="H236" t="str">
            <v>R1</v>
          </cell>
          <cell r="I236">
            <v>68</v>
          </cell>
        </row>
        <row r="237">
          <cell r="C237" t="str">
            <v>Proline</v>
          </cell>
          <cell r="F237">
            <v>5</v>
          </cell>
          <cell r="G237" t="str">
            <v>fl oz/a</v>
          </cell>
          <cell r="H237" t="str">
            <v>R3</v>
          </cell>
        </row>
        <row r="238">
          <cell r="B238">
            <v>165</v>
          </cell>
          <cell r="C238" t="str">
            <v>Proline</v>
          </cell>
          <cell r="D238">
            <v>311</v>
          </cell>
          <cell r="E238">
            <v>2229</v>
          </cell>
          <cell r="F238">
            <v>3</v>
          </cell>
          <cell r="G238" t="str">
            <v>fl oz/A</v>
          </cell>
          <cell r="H238" t="str">
            <v>R1</v>
          </cell>
          <cell r="I238">
            <v>6</v>
          </cell>
        </row>
        <row r="239">
          <cell r="C239" t="str">
            <v>Stratego YLD</v>
          </cell>
          <cell r="F239">
            <v>4</v>
          </cell>
          <cell r="G239" t="str">
            <v>fl oz/A</v>
          </cell>
          <cell r="H239" t="str">
            <v>R1</v>
          </cell>
        </row>
        <row r="240">
          <cell r="B240">
            <v>166</v>
          </cell>
          <cell r="C240" t="str">
            <v>Proline</v>
          </cell>
          <cell r="D240">
            <v>311</v>
          </cell>
          <cell r="E240">
            <v>2229</v>
          </cell>
          <cell r="F240">
            <v>3</v>
          </cell>
          <cell r="G240" t="str">
            <v>fl oz/A</v>
          </cell>
          <cell r="H240" t="str">
            <v>R1</v>
          </cell>
          <cell r="I240">
            <v>68</v>
          </cell>
        </row>
        <row r="241">
          <cell r="C241" t="str">
            <v>Stratego YLD</v>
          </cell>
          <cell r="F241">
            <v>4</v>
          </cell>
          <cell r="G241" t="str">
            <v>fl oz/A</v>
          </cell>
          <cell r="H241" t="str">
            <v>R3</v>
          </cell>
        </row>
        <row r="242">
          <cell r="B242">
            <v>167</v>
          </cell>
          <cell r="C242" t="str">
            <v>Proline</v>
          </cell>
          <cell r="D242">
            <v>311</v>
          </cell>
          <cell r="E242">
            <v>2229</v>
          </cell>
          <cell r="F242">
            <v>5</v>
          </cell>
          <cell r="G242" t="str">
            <v>fl oz/A</v>
          </cell>
          <cell r="H242" t="str">
            <v>R1</v>
          </cell>
          <cell r="I242">
            <v>68</v>
          </cell>
        </row>
        <row r="243">
          <cell r="C243" t="str">
            <v>Stratego YLD</v>
          </cell>
          <cell r="F243">
            <v>4.6500000000000004</v>
          </cell>
          <cell r="G243" t="str">
            <v>fl oz/A</v>
          </cell>
          <cell r="H243" t="str">
            <v>R3</v>
          </cell>
        </row>
        <row r="244">
          <cell r="B244">
            <v>168</v>
          </cell>
          <cell r="C244" t="str">
            <v>Proline</v>
          </cell>
          <cell r="D244">
            <v>311</v>
          </cell>
          <cell r="E244">
            <v>2229</v>
          </cell>
          <cell r="F244">
            <v>3</v>
          </cell>
          <cell r="G244" t="str">
            <v>fl oz/A</v>
          </cell>
          <cell r="H244" t="str">
            <v>R1</v>
          </cell>
          <cell r="I244">
            <v>68</v>
          </cell>
        </row>
        <row r="245">
          <cell r="C245" t="str">
            <v>Stratego YLD</v>
          </cell>
          <cell r="F245">
            <v>4.6500000000000004</v>
          </cell>
          <cell r="G245" t="str">
            <v>fl oz/A</v>
          </cell>
          <cell r="H245" t="str">
            <v>R3</v>
          </cell>
        </row>
        <row r="246">
          <cell r="B246">
            <v>169</v>
          </cell>
          <cell r="C246" t="str">
            <v>Proline</v>
          </cell>
          <cell r="D246">
            <v>311</v>
          </cell>
          <cell r="E246">
            <v>2229</v>
          </cell>
          <cell r="F246">
            <v>42.573</v>
          </cell>
          <cell r="G246" t="str">
            <v>g ai/a</v>
          </cell>
          <cell r="H246" t="str">
            <v>R1</v>
          </cell>
          <cell r="I246">
            <v>68</v>
          </cell>
        </row>
        <row r="247">
          <cell r="C247" t="str">
            <v>Stratego YLD</v>
          </cell>
          <cell r="F247">
            <v>5</v>
          </cell>
          <cell r="G247" t="str">
            <v>fl oz/A</v>
          </cell>
          <cell r="H247" t="str">
            <v>R3</v>
          </cell>
        </row>
        <row r="248">
          <cell r="B248">
            <v>170</v>
          </cell>
          <cell r="C248" t="str">
            <v>Proline</v>
          </cell>
          <cell r="D248">
            <v>311</v>
          </cell>
          <cell r="E248">
            <v>2229</v>
          </cell>
          <cell r="F248">
            <v>70.98</v>
          </cell>
          <cell r="G248" t="str">
            <v>g ai/a</v>
          </cell>
          <cell r="H248" t="str">
            <v>R1</v>
          </cell>
          <cell r="I248">
            <v>68</v>
          </cell>
        </row>
        <row r="249">
          <cell r="C249" t="str">
            <v>Stratego YLD</v>
          </cell>
          <cell r="F249">
            <v>5</v>
          </cell>
          <cell r="G249" t="str">
            <v>fl oz/A</v>
          </cell>
          <cell r="H249" t="str">
            <v>R3</v>
          </cell>
        </row>
        <row r="250">
          <cell r="B250">
            <v>171</v>
          </cell>
          <cell r="C250" t="str">
            <v>Proline</v>
          </cell>
          <cell r="D250">
            <v>311</v>
          </cell>
          <cell r="E250">
            <v>2229</v>
          </cell>
          <cell r="F250">
            <v>3</v>
          </cell>
          <cell r="G250" t="str">
            <v>fl oz/A</v>
          </cell>
          <cell r="H250" t="str">
            <v>R1</v>
          </cell>
          <cell r="I250">
            <v>68</v>
          </cell>
        </row>
        <row r="251">
          <cell r="C251" t="str">
            <v>Stratego</v>
          </cell>
          <cell r="F251">
            <v>4.6500000000000004</v>
          </cell>
          <cell r="G251" t="str">
            <v>fl oz/A</v>
          </cell>
          <cell r="H251" t="str">
            <v>R3</v>
          </cell>
        </row>
        <row r="252">
          <cell r="B252">
            <v>172</v>
          </cell>
          <cell r="C252" t="str">
            <v>Proline</v>
          </cell>
          <cell r="D252">
            <v>311</v>
          </cell>
          <cell r="E252">
            <v>2229</v>
          </cell>
          <cell r="F252">
            <v>3</v>
          </cell>
          <cell r="G252" t="str">
            <v>fl oz/A</v>
          </cell>
          <cell r="H252" t="str">
            <v>R2</v>
          </cell>
          <cell r="I252">
            <v>78</v>
          </cell>
        </row>
        <row r="253">
          <cell r="C253" t="str">
            <v>Stratego</v>
          </cell>
          <cell r="F253">
            <v>4</v>
          </cell>
          <cell r="G253" t="str">
            <v>fl oz/A</v>
          </cell>
          <cell r="H253" t="str">
            <v>R3</v>
          </cell>
        </row>
        <row r="254">
          <cell r="B254">
            <v>173</v>
          </cell>
          <cell r="C254" t="str">
            <v>Proline</v>
          </cell>
          <cell r="D254">
            <v>311</v>
          </cell>
          <cell r="E254">
            <v>2229</v>
          </cell>
          <cell r="F254">
            <v>5</v>
          </cell>
          <cell r="G254" t="str">
            <v>fl oz/A</v>
          </cell>
          <cell r="H254" t="str">
            <v>R2</v>
          </cell>
          <cell r="I254">
            <v>78</v>
          </cell>
        </row>
        <row r="255">
          <cell r="C255" t="str">
            <v>Stratego</v>
          </cell>
          <cell r="F255">
            <v>4.6500000000000004</v>
          </cell>
          <cell r="G255" t="str">
            <v>fl oz/A</v>
          </cell>
          <cell r="H255" t="str">
            <v>R3</v>
          </cell>
        </row>
        <row r="256">
          <cell r="B256">
            <v>174</v>
          </cell>
          <cell r="C256" t="str">
            <v>Propulse</v>
          </cell>
          <cell r="D256">
            <v>37</v>
          </cell>
          <cell r="E256">
            <v>1422</v>
          </cell>
          <cell r="F256">
            <v>6</v>
          </cell>
          <cell r="G256" t="str">
            <v>fl oz/A</v>
          </cell>
          <cell r="H256" t="str">
            <v>R1</v>
          </cell>
          <cell r="I256">
            <v>6</v>
          </cell>
        </row>
        <row r="257">
          <cell r="B257">
            <v>175</v>
          </cell>
          <cell r="C257" t="str">
            <v>Propulse</v>
          </cell>
          <cell r="D257">
            <v>37</v>
          </cell>
          <cell r="E257">
            <v>1422</v>
          </cell>
          <cell r="F257">
            <v>10.3</v>
          </cell>
          <cell r="G257" t="str">
            <v>fl oz/A</v>
          </cell>
          <cell r="H257" t="str">
            <v>R2</v>
          </cell>
          <cell r="I257">
            <v>7</v>
          </cell>
        </row>
        <row r="258">
          <cell r="B258">
            <v>176</v>
          </cell>
          <cell r="C258" t="str">
            <v>Propulse</v>
          </cell>
          <cell r="D258">
            <v>37</v>
          </cell>
          <cell r="E258">
            <v>1422</v>
          </cell>
          <cell r="F258">
            <v>8</v>
          </cell>
          <cell r="G258" t="str">
            <v>fl oz/A</v>
          </cell>
          <cell r="H258" t="str">
            <v>R1</v>
          </cell>
          <cell r="I258">
            <v>68</v>
          </cell>
        </row>
        <row r="259">
          <cell r="C259" t="str">
            <v>Proline</v>
          </cell>
          <cell r="F259">
            <v>3</v>
          </cell>
          <cell r="G259" t="str">
            <v>fl oz/A</v>
          </cell>
          <cell r="H259" t="str">
            <v>R3</v>
          </cell>
        </row>
        <row r="260">
          <cell r="B260">
            <v>177</v>
          </cell>
          <cell r="C260" t="str">
            <v>Propulse</v>
          </cell>
          <cell r="D260">
            <v>3711</v>
          </cell>
          <cell r="E260">
            <v>142229</v>
          </cell>
          <cell r="F260">
            <v>8</v>
          </cell>
          <cell r="G260" t="str">
            <v>fl oz/A</v>
          </cell>
          <cell r="H260" t="str">
            <v>R1</v>
          </cell>
          <cell r="I260">
            <v>68</v>
          </cell>
        </row>
        <row r="261">
          <cell r="C261" t="str">
            <v>Stratego YLD</v>
          </cell>
          <cell r="F261">
            <v>4</v>
          </cell>
          <cell r="G261" t="str">
            <v>fl oz/A</v>
          </cell>
          <cell r="H261" t="str">
            <v>R3</v>
          </cell>
        </row>
        <row r="262">
          <cell r="B262">
            <v>178</v>
          </cell>
          <cell r="C262" t="str">
            <v>Propulse</v>
          </cell>
          <cell r="D262" t="str">
            <v>NA37</v>
          </cell>
          <cell r="E262" t="str">
            <v>U1422</v>
          </cell>
          <cell r="F262">
            <v>6</v>
          </cell>
          <cell r="G262" t="str">
            <v>fl oz/A</v>
          </cell>
          <cell r="H262" t="str">
            <v>R1</v>
          </cell>
          <cell r="I262">
            <v>68</v>
          </cell>
        </row>
        <row r="263">
          <cell r="C263" t="str">
            <v>USF0728</v>
          </cell>
          <cell r="F263">
            <v>7</v>
          </cell>
          <cell r="G263" t="str">
            <v>fl oz/A</v>
          </cell>
          <cell r="H263" t="str">
            <v>R3</v>
          </cell>
        </row>
        <row r="264">
          <cell r="B264">
            <v>179</v>
          </cell>
          <cell r="C264" t="str">
            <v>Quadris</v>
          </cell>
          <cell r="D264">
            <v>11</v>
          </cell>
          <cell r="E264">
            <v>1</v>
          </cell>
          <cell r="F264">
            <v>6</v>
          </cell>
          <cell r="G264" t="str">
            <v>fl oz/A</v>
          </cell>
          <cell r="H264" t="str">
            <v>R1</v>
          </cell>
          <cell r="I264">
            <v>6</v>
          </cell>
        </row>
        <row r="265">
          <cell r="B265">
            <v>180</v>
          </cell>
          <cell r="C265" t="str">
            <v>Quadris</v>
          </cell>
          <cell r="D265">
            <v>11</v>
          </cell>
          <cell r="E265">
            <v>1</v>
          </cell>
          <cell r="F265">
            <v>6</v>
          </cell>
          <cell r="G265" t="str">
            <v>fl oz/A</v>
          </cell>
          <cell r="H265" t="str">
            <v>R3</v>
          </cell>
          <cell r="I265">
            <v>8</v>
          </cell>
        </row>
        <row r="266">
          <cell r="B266">
            <v>181</v>
          </cell>
          <cell r="C266" t="str">
            <v>Quadris</v>
          </cell>
          <cell r="D266">
            <v>11</v>
          </cell>
          <cell r="E266">
            <v>1</v>
          </cell>
          <cell r="F266">
            <v>10</v>
          </cell>
          <cell r="G266" t="str">
            <v>fl oz/A</v>
          </cell>
          <cell r="H266" t="str">
            <v>R1</v>
          </cell>
          <cell r="I266">
            <v>6</v>
          </cell>
        </row>
        <row r="267">
          <cell r="B267">
            <v>182</v>
          </cell>
          <cell r="C267" t="str">
            <v>Quadris Top</v>
          </cell>
          <cell r="D267">
            <v>311</v>
          </cell>
          <cell r="E267">
            <v>19</v>
          </cell>
          <cell r="F267">
            <v>8</v>
          </cell>
          <cell r="G267" t="str">
            <v>fl oz/A</v>
          </cell>
          <cell r="H267" t="str">
            <v>R3</v>
          </cell>
          <cell r="I267">
            <v>8</v>
          </cell>
        </row>
        <row r="268">
          <cell r="B268">
            <v>183</v>
          </cell>
          <cell r="C268" t="str">
            <v>Quadris Top</v>
          </cell>
          <cell r="D268">
            <v>311</v>
          </cell>
          <cell r="E268">
            <v>19</v>
          </cell>
          <cell r="F268">
            <v>10</v>
          </cell>
          <cell r="G268" t="str">
            <v>fl oz/A</v>
          </cell>
          <cell r="H268" t="str">
            <v>R3</v>
          </cell>
          <cell r="I268">
            <v>8</v>
          </cell>
        </row>
        <row r="269">
          <cell r="B269">
            <v>184</v>
          </cell>
          <cell r="C269" t="str">
            <v>Quilt Xcel</v>
          </cell>
          <cell r="D269">
            <v>311</v>
          </cell>
          <cell r="E269">
            <v>121</v>
          </cell>
          <cell r="F269">
            <v>10.5</v>
          </cell>
          <cell r="G269" t="str">
            <v>fl oz/A</v>
          </cell>
          <cell r="H269" t="str">
            <v>R1</v>
          </cell>
          <cell r="I269">
            <v>6</v>
          </cell>
        </row>
        <row r="270">
          <cell r="B270">
            <v>185</v>
          </cell>
          <cell r="C270" t="str">
            <v>Quilt Xcel</v>
          </cell>
          <cell r="D270">
            <v>311</v>
          </cell>
          <cell r="E270">
            <v>121</v>
          </cell>
          <cell r="F270">
            <v>10.5</v>
          </cell>
          <cell r="G270" t="str">
            <v>fl oz/A</v>
          </cell>
          <cell r="H270" t="str">
            <v>R3</v>
          </cell>
          <cell r="I270">
            <v>8</v>
          </cell>
        </row>
        <row r="271">
          <cell r="B271">
            <v>186</v>
          </cell>
          <cell r="C271" t="str">
            <v>RegaliaMaxx</v>
          </cell>
          <cell r="D271" t="str">
            <v>P5</v>
          </cell>
          <cell r="E271">
            <v>10</v>
          </cell>
          <cell r="F271">
            <v>8</v>
          </cell>
          <cell r="G271" t="str">
            <v>fl oz/A</v>
          </cell>
          <cell r="H271" t="str">
            <v>R1</v>
          </cell>
          <cell r="I271">
            <v>6</v>
          </cell>
        </row>
        <row r="272">
          <cell r="B272">
            <v>187</v>
          </cell>
          <cell r="C272" t="str">
            <v>RegaliaMaxx</v>
          </cell>
          <cell r="D272" t="str">
            <v>P5</v>
          </cell>
          <cell r="E272">
            <v>10</v>
          </cell>
          <cell r="F272">
            <v>8</v>
          </cell>
          <cell r="G272" t="str">
            <v>fl oz/A</v>
          </cell>
          <cell r="H272" t="str">
            <v>R1</v>
          </cell>
          <cell r="I272">
            <v>68</v>
          </cell>
        </row>
        <row r="273">
          <cell r="C273" t="str">
            <v>RegaliaMaxx</v>
          </cell>
          <cell r="F273">
            <v>8</v>
          </cell>
          <cell r="G273" t="str">
            <v>fl oz/A</v>
          </cell>
          <cell r="H273" t="str">
            <v>R3</v>
          </cell>
        </row>
        <row r="274">
          <cell r="B274">
            <v>188</v>
          </cell>
          <cell r="C274" t="str">
            <v>RegaliaMaxx</v>
          </cell>
          <cell r="D274" t="str">
            <v>P51</v>
          </cell>
          <cell r="E274">
            <v>1028</v>
          </cell>
          <cell r="F274">
            <v>8</v>
          </cell>
          <cell r="G274" t="str">
            <v>fl oz/A</v>
          </cell>
          <cell r="H274" t="str">
            <v>R1</v>
          </cell>
          <cell r="I274">
            <v>6</v>
          </cell>
        </row>
        <row r="275">
          <cell r="C275" t="str">
            <v>TOPSIN-M</v>
          </cell>
          <cell r="F275">
            <v>1</v>
          </cell>
          <cell r="G275" t="str">
            <v>lb/a</v>
          </cell>
          <cell r="H275" t="str">
            <v>R1</v>
          </cell>
        </row>
        <row r="276">
          <cell r="B276">
            <v>189</v>
          </cell>
          <cell r="C276" t="str">
            <v>Roundup Original Maxx</v>
          </cell>
          <cell r="D276" t="str">
            <v>H</v>
          </cell>
          <cell r="E276">
            <v>30</v>
          </cell>
          <cell r="F276">
            <v>22</v>
          </cell>
          <cell r="G276" t="str">
            <v>fl oz/A</v>
          </cell>
          <cell r="H276" t="str">
            <v>R3</v>
          </cell>
          <cell r="I276">
            <v>8</v>
          </cell>
        </row>
        <row r="277">
          <cell r="B277">
            <v>190</v>
          </cell>
          <cell r="C277" t="str">
            <v>SA-0040309</v>
          </cell>
          <cell r="D277" t="str">
            <v>NA</v>
          </cell>
          <cell r="E277" t="str">
            <v>U</v>
          </cell>
          <cell r="F277">
            <v>13</v>
          </cell>
          <cell r="G277" t="str">
            <v>fl oz/A</v>
          </cell>
          <cell r="H277" t="str">
            <v>R1</v>
          </cell>
          <cell r="I277">
            <v>6</v>
          </cell>
        </row>
        <row r="278">
          <cell r="B278">
            <v>191</v>
          </cell>
          <cell r="C278" t="str">
            <v>SA-0040309</v>
          </cell>
          <cell r="D278" t="str">
            <v>NA</v>
          </cell>
          <cell r="E278" t="str">
            <v>U</v>
          </cell>
          <cell r="F278">
            <v>16</v>
          </cell>
          <cell r="G278" t="str">
            <v>fl oz/A</v>
          </cell>
          <cell r="H278" t="str">
            <v>R1</v>
          </cell>
          <cell r="I278">
            <v>6</v>
          </cell>
        </row>
        <row r="279">
          <cell r="B279">
            <v>192</v>
          </cell>
          <cell r="C279" t="str">
            <v>SA-0040314</v>
          </cell>
          <cell r="D279" t="str">
            <v>NA</v>
          </cell>
          <cell r="E279" t="str">
            <v>U</v>
          </cell>
          <cell r="F279">
            <v>16</v>
          </cell>
          <cell r="G279" t="str">
            <v>fl oz/A</v>
          </cell>
          <cell r="H279" t="str">
            <v>R1</v>
          </cell>
          <cell r="I279">
            <v>6</v>
          </cell>
        </row>
        <row r="280">
          <cell r="B280">
            <v>193</v>
          </cell>
          <cell r="C280" t="str">
            <v>SA-0450107</v>
          </cell>
          <cell r="D280" t="str">
            <v>NA</v>
          </cell>
          <cell r="E280" t="str">
            <v>U</v>
          </cell>
          <cell r="F280">
            <v>20</v>
          </cell>
          <cell r="G280" t="str">
            <v>fl oz/A</v>
          </cell>
          <cell r="H280" t="str">
            <v>R1</v>
          </cell>
          <cell r="I280">
            <v>6</v>
          </cell>
        </row>
        <row r="281">
          <cell r="B281">
            <v>194</v>
          </cell>
          <cell r="C281" t="str">
            <v>SA-0450108</v>
          </cell>
          <cell r="D281" t="str">
            <v>NA</v>
          </cell>
          <cell r="E281" t="str">
            <v>U</v>
          </cell>
          <cell r="F281">
            <v>20</v>
          </cell>
          <cell r="G281" t="str">
            <v>fl oz/A</v>
          </cell>
          <cell r="H281" t="str">
            <v>R1</v>
          </cell>
          <cell r="I281">
            <v>6</v>
          </cell>
        </row>
        <row r="282">
          <cell r="B282">
            <v>195</v>
          </cell>
          <cell r="C282" t="str">
            <v>SA-0450108</v>
          </cell>
          <cell r="D282" t="str">
            <v>NA</v>
          </cell>
          <cell r="E282" t="str">
            <v>U</v>
          </cell>
          <cell r="F282">
            <v>25</v>
          </cell>
          <cell r="G282" t="str">
            <v>fl oz/A</v>
          </cell>
          <cell r="H282" t="str">
            <v>R1</v>
          </cell>
          <cell r="I282">
            <v>6</v>
          </cell>
        </row>
        <row r="283">
          <cell r="B283">
            <v>196</v>
          </cell>
          <cell r="C283" t="str">
            <v>SA-0450108</v>
          </cell>
          <cell r="D283" t="str">
            <v>NA</v>
          </cell>
          <cell r="E283" t="str">
            <v>U</v>
          </cell>
          <cell r="F283">
            <v>50</v>
          </cell>
          <cell r="G283" t="str">
            <v>fl oz/A</v>
          </cell>
          <cell r="H283" t="str">
            <v>R1</v>
          </cell>
          <cell r="I283">
            <v>6</v>
          </cell>
        </row>
        <row r="284">
          <cell r="B284">
            <v>197</v>
          </cell>
          <cell r="C284" t="str">
            <v>Stratego</v>
          </cell>
          <cell r="D284">
            <v>311</v>
          </cell>
          <cell r="E284">
            <v>2129</v>
          </cell>
          <cell r="F284">
            <v>4</v>
          </cell>
          <cell r="G284" t="str">
            <v>fl oz/A</v>
          </cell>
          <cell r="H284" t="str">
            <v>R3</v>
          </cell>
          <cell r="I284">
            <v>8</v>
          </cell>
        </row>
        <row r="285">
          <cell r="B285">
            <v>198</v>
          </cell>
          <cell r="C285" t="str">
            <v>Stratego</v>
          </cell>
          <cell r="D285">
            <v>311</v>
          </cell>
          <cell r="E285">
            <v>2129</v>
          </cell>
          <cell r="F285">
            <v>10</v>
          </cell>
          <cell r="G285" t="str">
            <v>fl oz/A</v>
          </cell>
          <cell r="H285" t="str">
            <v>R1</v>
          </cell>
          <cell r="I285">
            <v>6</v>
          </cell>
        </row>
        <row r="286">
          <cell r="B286">
            <v>199</v>
          </cell>
          <cell r="C286" t="str">
            <v>Stratego YLD</v>
          </cell>
          <cell r="D286">
            <v>311</v>
          </cell>
          <cell r="E286">
            <v>2229</v>
          </cell>
          <cell r="F286">
            <v>4</v>
          </cell>
          <cell r="G286" t="str">
            <v>fl oz/A</v>
          </cell>
          <cell r="H286" t="str">
            <v>R1</v>
          </cell>
          <cell r="I286">
            <v>6</v>
          </cell>
        </row>
        <row r="287">
          <cell r="B287">
            <v>200</v>
          </cell>
          <cell r="C287" t="str">
            <v>Stratego YLD</v>
          </cell>
          <cell r="D287">
            <v>311</v>
          </cell>
          <cell r="E287">
            <v>2229</v>
          </cell>
          <cell r="F287">
            <v>4</v>
          </cell>
          <cell r="G287" t="str">
            <v>fl oz/A</v>
          </cell>
          <cell r="H287" t="str">
            <v>R3</v>
          </cell>
          <cell r="I287">
            <v>8</v>
          </cell>
        </row>
        <row r="288">
          <cell r="B288">
            <v>201</v>
          </cell>
          <cell r="C288" t="str">
            <v>Stratego YLD</v>
          </cell>
          <cell r="D288">
            <v>311</v>
          </cell>
          <cell r="E288">
            <v>2229</v>
          </cell>
          <cell r="F288">
            <v>4.6500000000000004</v>
          </cell>
          <cell r="G288" t="str">
            <v>fl oz/A</v>
          </cell>
          <cell r="H288" t="str">
            <v>R1</v>
          </cell>
          <cell r="I288">
            <v>68</v>
          </cell>
        </row>
        <row r="289">
          <cell r="C289" t="str">
            <v>Stratego YLD</v>
          </cell>
          <cell r="F289">
            <v>4.6500000000000004</v>
          </cell>
          <cell r="G289" t="str">
            <v>fl oz/A</v>
          </cell>
          <cell r="H289" t="str">
            <v>R3</v>
          </cell>
        </row>
        <row r="290">
          <cell r="B290">
            <v>202</v>
          </cell>
          <cell r="C290" t="str">
            <v>Topguard</v>
          </cell>
          <cell r="D290">
            <v>3</v>
          </cell>
          <cell r="E290">
            <v>15</v>
          </cell>
          <cell r="F290">
            <v>5</v>
          </cell>
          <cell r="G290" t="str">
            <v>fl oz/A</v>
          </cell>
          <cell r="H290" t="str">
            <v>R3</v>
          </cell>
          <cell r="I290">
            <v>8</v>
          </cell>
        </row>
        <row r="291">
          <cell r="B291">
            <v>203</v>
          </cell>
          <cell r="C291" t="str">
            <v>Topguard</v>
          </cell>
          <cell r="D291">
            <v>3</v>
          </cell>
          <cell r="E291">
            <v>15</v>
          </cell>
          <cell r="F291">
            <v>7</v>
          </cell>
          <cell r="G291" t="str">
            <v>fl oz/A</v>
          </cell>
          <cell r="H291" t="str">
            <v>R1</v>
          </cell>
          <cell r="I291">
            <v>6</v>
          </cell>
        </row>
        <row r="292">
          <cell r="B292">
            <v>204</v>
          </cell>
          <cell r="C292" t="str">
            <v>Topguard</v>
          </cell>
          <cell r="D292">
            <v>3</v>
          </cell>
          <cell r="E292">
            <v>15</v>
          </cell>
          <cell r="F292">
            <v>7</v>
          </cell>
          <cell r="G292" t="str">
            <v>fl oz/A</v>
          </cell>
          <cell r="H292" t="str">
            <v>R2</v>
          </cell>
          <cell r="I292">
            <v>7</v>
          </cell>
        </row>
        <row r="293">
          <cell r="B293">
            <v>205</v>
          </cell>
          <cell r="C293" t="str">
            <v>Topguard</v>
          </cell>
          <cell r="D293">
            <v>3</v>
          </cell>
          <cell r="E293">
            <v>15</v>
          </cell>
          <cell r="F293">
            <v>7</v>
          </cell>
          <cell r="G293" t="str">
            <v>fl oz/A</v>
          </cell>
          <cell r="H293" t="str">
            <v>R3</v>
          </cell>
          <cell r="I293">
            <v>8</v>
          </cell>
        </row>
        <row r="294">
          <cell r="B294">
            <v>206</v>
          </cell>
          <cell r="C294" t="str">
            <v>Topguard</v>
          </cell>
          <cell r="D294">
            <v>3</v>
          </cell>
          <cell r="E294">
            <v>15</v>
          </cell>
          <cell r="F294">
            <v>7</v>
          </cell>
          <cell r="G294" t="str">
            <v>fl oz/A</v>
          </cell>
          <cell r="H294" t="str">
            <v>R2</v>
          </cell>
          <cell r="I294">
            <v>78</v>
          </cell>
        </row>
        <row r="295">
          <cell r="C295" t="str">
            <v>Topguard</v>
          </cell>
          <cell r="F295">
            <v>7</v>
          </cell>
          <cell r="G295" t="str">
            <v>fl oz/A</v>
          </cell>
          <cell r="H295" t="str">
            <v>R3</v>
          </cell>
        </row>
        <row r="296">
          <cell r="B296">
            <v>207</v>
          </cell>
          <cell r="C296" t="str">
            <v>Topsin</v>
          </cell>
          <cell r="D296">
            <v>1</v>
          </cell>
          <cell r="E296">
            <v>28</v>
          </cell>
          <cell r="F296">
            <v>15</v>
          </cell>
          <cell r="G296" t="str">
            <v>fl oz/A</v>
          </cell>
          <cell r="H296" t="str">
            <v>R1</v>
          </cell>
          <cell r="I296">
            <v>6</v>
          </cell>
        </row>
        <row r="297">
          <cell r="B297">
            <v>208</v>
          </cell>
          <cell r="C297" t="str">
            <v>Topsin</v>
          </cell>
          <cell r="D297">
            <v>1</v>
          </cell>
          <cell r="E297">
            <v>28</v>
          </cell>
          <cell r="F297">
            <v>15</v>
          </cell>
          <cell r="G297" t="str">
            <v>fl oz/A</v>
          </cell>
          <cell r="H297" t="str">
            <v>R3</v>
          </cell>
          <cell r="I297">
            <v>8</v>
          </cell>
        </row>
        <row r="298">
          <cell r="B298">
            <v>209</v>
          </cell>
          <cell r="C298" t="str">
            <v>Topsin</v>
          </cell>
          <cell r="D298">
            <v>1</v>
          </cell>
          <cell r="E298">
            <v>28</v>
          </cell>
          <cell r="F298">
            <v>15</v>
          </cell>
          <cell r="G298" t="str">
            <v>fl oz/A</v>
          </cell>
          <cell r="H298" t="str">
            <v>R1</v>
          </cell>
          <cell r="I298">
            <v>68</v>
          </cell>
        </row>
        <row r="299">
          <cell r="C299" t="str">
            <v>Topsin</v>
          </cell>
          <cell r="F299">
            <v>15</v>
          </cell>
          <cell r="G299" t="str">
            <v>fl oz/A</v>
          </cell>
          <cell r="H299" t="str">
            <v>R3</v>
          </cell>
        </row>
        <row r="300">
          <cell r="B300">
            <v>210</v>
          </cell>
          <cell r="C300" t="str">
            <v>Topsin</v>
          </cell>
          <cell r="D300">
            <v>1</v>
          </cell>
          <cell r="E300">
            <v>28</v>
          </cell>
          <cell r="F300">
            <v>20</v>
          </cell>
          <cell r="G300" t="str">
            <v>fl oz/A</v>
          </cell>
          <cell r="H300" t="str">
            <v>R1</v>
          </cell>
          <cell r="I300">
            <v>6</v>
          </cell>
        </row>
        <row r="301">
          <cell r="B301">
            <v>211</v>
          </cell>
          <cell r="C301" t="str">
            <v>Topsin</v>
          </cell>
          <cell r="D301">
            <v>1</v>
          </cell>
          <cell r="E301">
            <v>28</v>
          </cell>
          <cell r="F301">
            <v>20</v>
          </cell>
          <cell r="G301" t="str">
            <v>fl oz/A</v>
          </cell>
          <cell r="H301" t="str">
            <v>R2</v>
          </cell>
          <cell r="I301">
            <v>7</v>
          </cell>
        </row>
        <row r="302">
          <cell r="B302">
            <v>212</v>
          </cell>
          <cell r="C302" t="str">
            <v>Topsin</v>
          </cell>
          <cell r="D302">
            <v>1</v>
          </cell>
          <cell r="E302">
            <v>28</v>
          </cell>
          <cell r="F302">
            <v>20</v>
          </cell>
          <cell r="G302" t="str">
            <v>fl oz/A</v>
          </cell>
          <cell r="H302" t="str">
            <v>R1</v>
          </cell>
          <cell r="I302">
            <v>67</v>
          </cell>
        </row>
        <row r="303">
          <cell r="C303" t="str">
            <v>Topsin</v>
          </cell>
          <cell r="F303">
            <v>20</v>
          </cell>
          <cell r="G303" t="str">
            <v>fl oz/A</v>
          </cell>
          <cell r="H303" t="str">
            <v>R2</v>
          </cell>
        </row>
        <row r="304">
          <cell r="B304">
            <v>213</v>
          </cell>
          <cell r="C304" t="str">
            <v>Topsin</v>
          </cell>
          <cell r="D304">
            <v>1</v>
          </cell>
          <cell r="E304">
            <v>28</v>
          </cell>
          <cell r="F304">
            <v>30</v>
          </cell>
          <cell r="G304" t="str">
            <v>fl oz/A</v>
          </cell>
          <cell r="H304" t="str">
            <v>R1</v>
          </cell>
          <cell r="I304">
            <v>6</v>
          </cell>
        </row>
        <row r="305">
          <cell r="B305">
            <v>214</v>
          </cell>
          <cell r="C305" t="str">
            <v>Topsin</v>
          </cell>
          <cell r="D305">
            <v>1</v>
          </cell>
          <cell r="E305">
            <v>28</v>
          </cell>
          <cell r="F305">
            <v>30</v>
          </cell>
          <cell r="G305" t="str">
            <v>fl oz/A</v>
          </cell>
          <cell r="H305" t="str">
            <v>R2</v>
          </cell>
          <cell r="I305">
            <v>7</v>
          </cell>
        </row>
        <row r="306">
          <cell r="B306">
            <v>215</v>
          </cell>
          <cell r="C306" t="str">
            <v>Topsin</v>
          </cell>
          <cell r="D306">
            <v>1</v>
          </cell>
          <cell r="E306">
            <v>28</v>
          </cell>
          <cell r="F306">
            <v>30</v>
          </cell>
          <cell r="G306" t="str">
            <v>fl oz/A</v>
          </cell>
          <cell r="H306" t="str">
            <v>R1</v>
          </cell>
          <cell r="I306">
            <v>67</v>
          </cell>
        </row>
        <row r="307">
          <cell r="C307" t="str">
            <v>Topsin</v>
          </cell>
          <cell r="F307">
            <v>30</v>
          </cell>
          <cell r="G307" t="str">
            <v>fl oz/A</v>
          </cell>
          <cell r="H307" t="str">
            <v>R2</v>
          </cell>
        </row>
        <row r="308">
          <cell r="B308">
            <v>216</v>
          </cell>
          <cell r="C308" t="str">
            <v>Topsin</v>
          </cell>
          <cell r="D308">
            <v>1</v>
          </cell>
          <cell r="E308">
            <v>28</v>
          </cell>
          <cell r="F308">
            <v>40</v>
          </cell>
          <cell r="G308" t="str">
            <v>fl oz/A</v>
          </cell>
          <cell r="H308" t="str">
            <v>R1</v>
          </cell>
          <cell r="I308">
            <v>6</v>
          </cell>
        </row>
        <row r="309">
          <cell r="B309">
            <v>217</v>
          </cell>
          <cell r="C309" t="str">
            <v>Topsin</v>
          </cell>
          <cell r="D309">
            <v>1</v>
          </cell>
          <cell r="E309">
            <v>28</v>
          </cell>
          <cell r="F309">
            <v>40</v>
          </cell>
          <cell r="G309" t="str">
            <v>fl oz/A</v>
          </cell>
          <cell r="H309" t="str">
            <v>R2</v>
          </cell>
          <cell r="I309">
            <v>7</v>
          </cell>
        </row>
        <row r="310">
          <cell r="B310">
            <v>218</v>
          </cell>
          <cell r="C310" t="str">
            <v>Topsin</v>
          </cell>
          <cell r="D310">
            <v>1</v>
          </cell>
          <cell r="E310">
            <v>28</v>
          </cell>
          <cell r="F310">
            <v>21.3</v>
          </cell>
          <cell r="G310" t="str">
            <v>fl oz/A</v>
          </cell>
          <cell r="H310" t="str">
            <v>R3</v>
          </cell>
          <cell r="I310">
            <v>8</v>
          </cell>
        </row>
        <row r="311">
          <cell r="B311">
            <v>219</v>
          </cell>
          <cell r="C311" t="str">
            <v>Topsin</v>
          </cell>
          <cell r="D311">
            <v>1</v>
          </cell>
          <cell r="E311">
            <v>28</v>
          </cell>
          <cell r="F311">
            <v>28.4</v>
          </cell>
          <cell r="G311" t="str">
            <v>fl oz/A</v>
          </cell>
          <cell r="H311" t="str">
            <v>R3</v>
          </cell>
          <cell r="I311">
            <v>8</v>
          </cell>
        </row>
        <row r="312">
          <cell r="B312">
            <v>220</v>
          </cell>
          <cell r="C312" t="str">
            <v>Topsin</v>
          </cell>
          <cell r="D312">
            <v>17</v>
          </cell>
          <cell r="E312">
            <v>284</v>
          </cell>
          <cell r="F312">
            <v>20</v>
          </cell>
          <cell r="G312" t="str">
            <v>fl oz/A</v>
          </cell>
          <cell r="H312" t="str">
            <v>R1</v>
          </cell>
          <cell r="I312">
            <v>67</v>
          </cell>
        </row>
        <row r="313">
          <cell r="C313" t="str">
            <v>Endura</v>
          </cell>
          <cell r="F313">
            <v>8</v>
          </cell>
          <cell r="G313" t="str">
            <v>oz/a</v>
          </cell>
          <cell r="H313" t="str">
            <v>R2</v>
          </cell>
        </row>
        <row r="314">
          <cell r="B314">
            <v>221</v>
          </cell>
          <cell r="C314" t="str">
            <v>TOPSIN-M</v>
          </cell>
          <cell r="D314">
            <v>1</v>
          </cell>
          <cell r="E314">
            <v>28</v>
          </cell>
          <cell r="F314">
            <v>15</v>
          </cell>
          <cell r="G314" t="str">
            <v>fl oz/A</v>
          </cell>
          <cell r="H314" t="str">
            <v>R1</v>
          </cell>
          <cell r="I314">
            <v>6</v>
          </cell>
        </row>
        <row r="315">
          <cell r="B315">
            <v>222</v>
          </cell>
          <cell r="C315" t="str">
            <v>TOPSIN-M</v>
          </cell>
          <cell r="D315">
            <v>1</v>
          </cell>
          <cell r="E315">
            <v>28</v>
          </cell>
          <cell r="F315">
            <v>1</v>
          </cell>
          <cell r="G315" t="str">
            <v>lb/a</v>
          </cell>
          <cell r="H315" t="str">
            <v>R1</v>
          </cell>
          <cell r="I315">
            <v>6</v>
          </cell>
        </row>
        <row r="316">
          <cell r="B316">
            <v>223</v>
          </cell>
          <cell r="C316" t="str">
            <v>TOPSIN-M</v>
          </cell>
          <cell r="D316">
            <v>1</v>
          </cell>
          <cell r="E316">
            <v>28</v>
          </cell>
          <cell r="F316">
            <v>1</v>
          </cell>
          <cell r="G316" t="str">
            <v>lb/a</v>
          </cell>
          <cell r="H316" t="str">
            <v>R3</v>
          </cell>
          <cell r="I316">
            <v>8</v>
          </cell>
        </row>
        <row r="317">
          <cell r="B317">
            <v>224</v>
          </cell>
          <cell r="C317" t="str">
            <v>Trivapro</v>
          </cell>
          <cell r="D317" t="str">
            <v>NA3711</v>
          </cell>
          <cell r="E317" t="str">
            <v>U1221</v>
          </cell>
          <cell r="F317">
            <v>10.5</v>
          </cell>
          <cell r="G317" t="str">
            <v>fl oz/A</v>
          </cell>
          <cell r="H317" t="str">
            <v>R3</v>
          </cell>
          <cell r="I317">
            <v>8</v>
          </cell>
        </row>
        <row r="318">
          <cell r="C318" t="str">
            <v>Quilt Xcel + Solatenol</v>
          </cell>
          <cell r="F318">
            <v>4.0999999999999996</v>
          </cell>
          <cell r="G318" t="str">
            <v>fl oz/A</v>
          </cell>
          <cell r="H318" t="str">
            <v>R3</v>
          </cell>
        </row>
        <row r="319">
          <cell r="B319">
            <v>225</v>
          </cell>
          <cell r="C319" t="str">
            <v>USF0728</v>
          </cell>
          <cell r="D319" t="str">
            <v>NA</v>
          </cell>
          <cell r="E319" t="str">
            <v>U</v>
          </cell>
          <cell r="F319">
            <v>7</v>
          </cell>
          <cell r="G319" t="str">
            <v>fl oz/A</v>
          </cell>
          <cell r="H319" t="str">
            <v>R1</v>
          </cell>
          <cell r="I319">
            <v>6</v>
          </cell>
        </row>
        <row r="320">
          <cell r="B320">
            <v>226</v>
          </cell>
          <cell r="C320" t="str">
            <v>USF0728</v>
          </cell>
          <cell r="D320" t="str">
            <v>NA</v>
          </cell>
          <cell r="E320" t="str">
            <v>U</v>
          </cell>
          <cell r="F320">
            <v>7</v>
          </cell>
          <cell r="G320" t="str">
            <v>fl oz/A</v>
          </cell>
          <cell r="H320" t="str">
            <v>R1</v>
          </cell>
          <cell r="I320">
            <v>68</v>
          </cell>
        </row>
        <row r="321">
          <cell r="C321" t="str">
            <v>USF0728</v>
          </cell>
          <cell r="F321">
            <v>7</v>
          </cell>
          <cell r="G321" t="str">
            <v>fl oz/A</v>
          </cell>
          <cell r="H321" t="str">
            <v>R3</v>
          </cell>
        </row>
        <row r="322">
          <cell r="B322">
            <v>227</v>
          </cell>
          <cell r="C322" t="str">
            <v>Vida</v>
          </cell>
          <cell r="D322" t="str">
            <v>PPO</v>
          </cell>
          <cell r="E322">
            <v>23</v>
          </cell>
          <cell r="F322">
            <v>1</v>
          </cell>
          <cell r="G322" t="str">
            <v>fl oz/a</v>
          </cell>
          <cell r="H322" t="str">
            <v>R1</v>
          </cell>
          <cell r="I322">
            <v>6</v>
          </cell>
        </row>
        <row r="323">
          <cell r="B323">
            <v>228</v>
          </cell>
          <cell r="C323" t="str">
            <v>Vida</v>
          </cell>
          <cell r="D323" t="str">
            <v>PPO3</v>
          </cell>
          <cell r="E323">
            <v>2326</v>
          </cell>
          <cell r="F323">
            <v>0.5</v>
          </cell>
          <cell r="G323" t="str">
            <v>fl oz/A</v>
          </cell>
          <cell r="H323" t="str">
            <v>R1</v>
          </cell>
          <cell r="I323">
            <v>68</v>
          </cell>
        </row>
        <row r="324">
          <cell r="C324" t="str">
            <v>Domark</v>
          </cell>
          <cell r="F324">
            <v>5</v>
          </cell>
          <cell r="G324" t="str">
            <v>fl oz/A</v>
          </cell>
          <cell r="H324" t="str">
            <v>R3</v>
          </cell>
        </row>
        <row r="325">
          <cell r="B325">
            <v>229</v>
          </cell>
          <cell r="C325" t="str">
            <v>Vida</v>
          </cell>
          <cell r="D325" t="str">
            <v>PPO3</v>
          </cell>
          <cell r="E325">
            <v>2326</v>
          </cell>
          <cell r="F325">
            <v>1</v>
          </cell>
          <cell r="G325" t="str">
            <v>fl oz/a</v>
          </cell>
          <cell r="H325" t="str">
            <v>R1</v>
          </cell>
          <cell r="I325">
            <v>68</v>
          </cell>
        </row>
        <row r="326">
          <cell r="C326" t="str">
            <v>Domark</v>
          </cell>
          <cell r="F326">
            <v>6</v>
          </cell>
          <cell r="G326" t="str">
            <v>fl oz/a</v>
          </cell>
          <cell r="H326" t="str">
            <v>R3</v>
          </cell>
        </row>
        <row r="327">
          <cell r="B327">
            <v>230</v>
          </cell>
          <cell r="C327" t="str">
            <v>Zolera FX 3.34 SC</v>
          </cell>
          <cell r="D327">
            <v>311</v>
          </cell>
          <cell r="E327">
            <v>1426</v>
          </cell>
          <cell r="F327">
            <v>5</v>
          </cell>
          <cell r="G327" t="str">
            <v>fl oz/A</v>
          </cell>
          <cell r="H327" t="str">
            <v>R1</v>
          </cell>
          <cell r="I327">
            <v>6</v>
          </cell>
        </row>
        <row r="328">
          <cell r="B328">
            <v>231</v>
          </cell>
          <cell r="C328" t="str">
            <v>Zolera FX 3.34 SC</v>
          </cell>
          <cell r="D328">
            <v>311</v>
          </cell>
          <cell r="E328">
            <v>1426</v>
          </cell>
          <cell r="F328">
            <v>5</v>
          </cell>
          <cell r="G328" t="str">
            <v>fl oz/A</v>
          </cell>
          <cell r="H328" t="str">
            <v>R3</v>
          </cell>
          <cell r="I328">
            <v>8</v>
          </cell>
        </row>
        <row r="329">
          <cell r="B329">
            <v>232</v>
          </cell>
          <cell r="C329" t="str">
            <v>Cadet</v>
          </cell>
          <cell r="D329" t="str">
            <v>PPO</v>
          </cell>
          <cell r="E329">
            <v>13</v>
          </cell>
          <cell r="F329">
            <v>0.9</v>
          </cell>
          <cell r="G329" t="str">
            <v>fl oz/A</v>
          </cell>
          <cell r="H329" t="str">
            <v>R1</v>
          </cell>
          <cell r="I329">
            <v>6</v>
          </cell>
        </row>
        <row r="330">
          <cell r="B330">
            <v>233</v>
          </cell>
          <cell r="C330" t="str">
            <v>Domark</v>
          </cell>
          <cell r="D330">
            <v>13</v>
          </cell>
          <cell r="E330">
            <v>2826</v>
          </cell>
          <cell r="F330">
            <v>4</v>
          </cell>
          <cell r="G330" t="str">
            <v>fl oz/A</v>
          </cell>
          <cell r="H330" t="str">
            <v>R1</v>
          </cell>
          <cell r="I330">
            <v>6</v>
          </cell>
        </row>
        <row r="331">
          <cell r="C331" t="str">
            <v>Topsin</v>
          </cell>
          <cell r="F331">
            <v>10</v>
          </cell>
          <cell r="G331" t="str">
            <v>fl oz/A</v>
          </cell>
          <cell r="H331" t="str">
            <v>R1</v>
          </cell>
        </row>
        <row r="332">
          <cell r="B332">
            <v>234</v>
          </cell>
          <cell r="C332" t="str">
            <v>Proline</v>
          </cell>
          <cell r="D332">
            <v>311</v>
          </cell>
          <cell r="E332">
            <v>2229</v>
          </cell>
          <cell r="F332">
            <v>5</v>
          </cell>
          <cell r="G332" t="str">
            <v>fl oz/A</v>
          </cell>
          <cell r="H332" t="str">
            <v>R1</v>
          </cell>
          <cell r="I332">
            <v>6</v>
          </cell>
        </row>
        <row r="333">
          <cell r="C333" t="str">
            <v>Stratego YLD</v>
          </cell>
          <cell r="F333">
            <v>4.6500000000000004</v>
          </cell>
          <cell r="G333" t="str">
            <v>fl oz/A</v>
          </cell>
          <cell r="H333" t="str">
            <v>R1</v>
          </cell>
        </row>
        <row r="334">
          <cell r="B334">
            <v>235</v>
          </cell>
          <cell r="C334" t="str">
            <v>Aproach</v>
          </cell>
          <cell r="D334">
            <v>711</v>
          </cell>
          <cell r="E334">
            <v>420</v>
          </cell>
          <cell r="F334">
            <v>9</v>
          </cell>
          <cell r="G334" t="str">
            <v>fl oz/A</v>
          </cell>
          <cell r="H334" t="str">
            <v>R1</v>
          </cell>
          <cell r="I334">
            <v>68</v>
          </cell>
        </row>
        <row r="335">
          <cell r="C335" t="str">
            <v>Endura</v>
          </cell>
          <cell r="F335">
            <v>8</v>
          </cell>
          <cell r="G335" t="str">
            <v>oz/a</v>
          </cell>
          <cell r="H335" t="str">
            <v>R3</v>
          </cell>
        </row>
        <row r="336">
          <cell r="B336">
            <v>236</v>
          </cell>
          <cell r="C336" t="str">
            <v>Aproach</v>
          </cell>
          <cell r="D336">
            <v>11</v>
          </cell>
          <cell r="E336">
            <v>20</v>
          </cell>
          <cell r="F336">
            <v>6</v>
          </cell>
          <cell r="G336" t="str">
            <v>fl oz/A</v>
          </cell>
          <cell r="H336" t="str">
            <v>R3</v>
          </cell>
          <cell r="I336">
            <v>8</v>
          </cell>
        </row>
        <row r="337">
          <cell r="B337">
            <v>237</v>
          </cell>
          <cell r="C337" t="str">
            <v>Stratego YLD</v>
          </cell>
          <cell r="D337" t="str">
            <v>I311</v>
          </cell>
          <cell r="E337">
            <v>62229</v>
          </cell>
          <cell r="F337">
            <v>4</v>
          </cell>
          <cell r="G337" t="str">
            <v>fl oz/A</v>
          </cell>
          <cell r="H337" t="str">
            <v>R3</v>
          </cell>
          <cell r="I337">
            <v>8</v>
          </cell>
        </row>
        <row r="338">
          <cell r="C338" t="str">
            <v>Leverage</v>
          </cell>
          <cell r="F338">
            <v>2.8</v>
          </cell>
          <cell r="G338" t="str">
            <v>fl oz/A</v>
          </cell>
          <cell r="H338" t="str">
            <v>R3</v>
          </cell>
        </row>
        <row r="339">
          <cell r="B339">
            <v>238</v>
          </cell>
          <cell r="C339" t="str">
            <v>Affiance</v>
          </cell>
          <cell r="D339">
            <v>311</v>
          </cell>
          <cell r="E339">
            <v>261</v>
          </cell>
          <cell r="F339">
            <v>10</v>
          </cell>
          <cell r="G339" t="str">
            <v>fl oz/A</v>
          </cell>
          <cell r="H339" t="str">
            <v>R3</v>
          </cell>
          <cell r="I339">
            <v>8</v>
          </cell>
        </row>
        <row r="340">
          <cell r="B340">
            <v>239</v>
          </cell>
          <cell r="C340" t="str">
            <v>Cercobin</v>
          </cell>
          <cell r="D340">
            <v>13</v>
          </cell>
          <cell r="E340">
            <v>2815</v>
          </cell>
          <cell r="F340">
            <v>21</v>
          </cell>
          <cell r="G340" t="str">
            <v>fl oz/A</v>
          </cell>
          <cell r="H340" t="str">
            <v>R1</v>
          </cell>
          <cell r="I340">
            <v>6</v>
          </cell>
        </row>
        <row r="341">
          <cell r="C341" t="str">
            <v>Topguard</v>
          </cell>
          <cell r="F341">
            <v>7</v>
          </cell>
          <cell r="G341" t="str">
            <v>fl oz/A</v>
          </cell>
          <cell r="H341" t="str">
            <v>R1</v>
          </cell>
        </row>
        <row r="342">
          <cell r="B342">
            <v>240</v>
          </cell>
          <cell r="C342" t="str">
            <v>Cobra</v>
          </cell>
          <cell r="D342" t="str">
            <v>PPO11</v>
          </cell>
          <cell r="E342">
            <v>1820</v>
          </cell>
          <cell r="F342">
            <v>6</v>
          </cell>
          <cell r="G342" t="str">
            <v>fl oz/A</v>
          </cell>
          <cell r="H342" t="str">
            <v>V5</v>
          </cell>
          <cell r="I342">
            <v>56</v>
          </cell>
        </row>
        <row r="343">
          <cell r="C343" t="str">
            <v>Aproach</v>
          </cell>
          <cell r="F343">
            <v>9</v>
          </cell>
          <cell r="G343" t="str">
            <v>fl oz/A</v>
          </cell>
          <cell r="H343" t="str">
            <v>R1</v>
          </cell>
        </row>
        <row r="344">
          <cell r="B344">
            <v>241</v>
          </cell>
          <cell r="C344" t="str">
            <v>Endura</v>
          </cell>
          <cell r="D344">
            <v>711</v>
          </cell>
          <cell r="E344">
            <v>41624</v>
          </cell>
          <cell r="F344">
            <v>6</v>
          </cell>
          <cell r="G344" t="str">
            <v>oz/a</v>
          </cell>
          <cell r="H344" t="str">
            <v>R1</v>
          </cell>
          <cell r="I344">
            <v>67</v>
          </cell>
        </row>
        <row r="345">
          <cell r="C345" t="str">
            <v>Priaxor</v>
          </cell>
          <cell r="F345">
            <v>4</v>
          </cell>
          <cell r="G345" t="str">
            <v>fl oz/A</v>
          </cell>
          <cell r="H345" t="str">
            <v>R2</v>
          </cell>
        </row>
        <row r="346">
          <cell r="B346">
            <v>242</v>
          </cell>
          <cell r="C346" t="str">
            <v>Propulse</v>
          </cell>
          <cell r="D346">
            <v>37</v>
          </cell>
          <cell r="E346">
            <v>1422</v>
          </cell>
          <cell r="F346">
            <v>10.3</v>
          </cell>
          <cell r="G346" t="str">
            <v>fl oz/A</v>
          </cell>
          <cell r="H346" t="str">
            <v>R1</v>
          </cell>
          <cell r="I346">
            <v>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09"/>
  <sheetViews>
    <sheetView tabSelected="1" topLeftCell="B1" zoomScale="90" zoomScaleNormal="90" workbookViewId="0">
      <pane ySplit="1" topLeftCell="A2" activePane="bottomLeft" state="frozen"/>
      <selection activeCell="O17" sqref="O17"/>
      <selection pane="bottomLeft" activeCell="O11" sqref="O11"/>
    </sheetView>
  </sheetViews>
  <sheetFormatPr defaultRowHeight="15" x14ac:dyDescent="0.25"/>
  <cols>
    <col min="1" max="3" width="19.28515625" style="24" customWidth="1"/>
    <col min="4" max="4" width="12.140625" style="26" customWidth="1"/>
    <col min="5" max="5" width="38" style="24" bestFit="1" customWidth="1"/>
    <col min="6" max="6" width="10.28515625" style="4" customWidth="1"/>
    <col min="7" max="7" width="14.42578125" style="32" bestFit="1" customWidth="1"/>
    <col min="8" max="8" width="13.140625" style="36" customWidth="1"/>
    <col min="9" max="9" width="11.7109375" style="36" customWidth="1"/>
    <col min="10" max="10" width="22.7109375" style="79" bestFit="1" customWidth="1"/>
    <col min="11" max="11" width="10.42578125" style="80" customWidth="1"/>
    <col min="12" max="12" width="10.28515625" style="119" customWidth="1"/>
    <col min="13" max="13" width="10.28515625" style="118" customWidth="1"/>
  </cols>
  <sheetData>
    <row r="1" spans="1:13" s="1" customFormat="1" ht="78" customHeight="1" thickBot="1" x14ac:dyDescent="0.3">
      <c r="A1" s="87" t="s">
        <v>153</v>
      </c>
      <c r="B1" s="87" t="s">
        <v>154</v>
      </c>
      <c r="C1" s="87" t="s">
        <v>171</v>
      </c>
      <c r="D1" s="88" t="s">
        <v>158</v>
      </c>
      <c r="E1" s="87" t="s">
        <v>155</v>
      </c>
      <c r="F1" s="89" t="s">
        <v>0</v>
      </c>
      <c r="G1" s="90"/>
      <c r="H1" s="91" t="s">
        <v>156</v>
      </c>
      <c r="I1" s="91" t="s">
        <v>157</v>
      </c>
      <c r="J1" s="92" t="s">
        <v>175</v>
      </c>
      <c r="K1" s="88" t="s">
        <v>176</v>
      </c>
      <c r="L1" s="88" t="s">
        <v>178</v>
      </c>
      <c r="M1" s="88" t="s">
        <v>179</v>
      </c>
    </row>
    <row r="2" spans="1:13" x14ac:dyDescent="0.25">
      <c r="A2" s="24">
        <v>2009</v>
      </c>
      <c r="B2" s="24" t="s">
        <v>159</v>
      </c>
      <c r="C2" s="24" t="s">
        <v>160</v>
      </c>
      <c r="D2" s="26">
        <v>1</v>
      </c>
      <c r="E2" s="24" t="s">
        <v>1</v>
      </c>
      <c r="F2" s="4" t="s">
        <v>2</v>
      </c>
      <c r="G2" s="32" t="s">
        <v>2</v>
      </c>
      <c r="H2" s="36" t="s">
        <v>2</v>
      </c>
      <c r="I2" s="36">
        <v>1</v>
      </c>
      <c r="J2" s="82" t="str">
        <f>IFERROR(VLOOKUP(I2,'[1]ABC Master Lists'!$B$2:$I$346,4,FALSE)," ")</f>
        <v>.</v>
      </c>
      <c r="K2" s="29" t="str">
        <f>IFERROR(VLOOKUP(I2,'[1]ABC Master Lists'!$B$2:$I$346,8,FALSE)," ")</f>
        <v>.</v>
      </c>
      <c r="L2" s="121" t="str">
        <f>IFERROR(VLOOKUP(J2,'[1]ABC Master Lists'!$AQ$2:$AS$12,3,FALSE)," ")</f>
        <v>+</v>
      </c>
      <c r="M2" s="121" t="str">
        <f>IFERROR(VLOOKUP(K2,'[1]ABC Master Lists'!$AD$2:$AE$22,2,FALSE), " ")</f>
        <v>+</v>
      </c>
    </row>
    <row r="3" spans="1:13" x14ac:dyDescent="0.25">
      <c r="D3" s="27">
        <v>2</v>
      </c>
      <c r="E3" s="30" t="s">
        <v>3</v>
      </c>
      <c r="F3" s="17">
        <v>0.5</v>
      </c>
      <c r="G3" s="33" t="s">
        <v>4</v>
      </c>
      <c r="H3" s="37" t="s">
        <v>5</v>
      </c>
      <c r="I3" s="37">
        <v>137</v>
      </c>
      <c r="J3" s="79">
        <f>IFERROR(VLOOKUP(I3,'[1]ABC Master Lists'!$B$2:$I$346,4,FALSE)," ")</f>
        <v>11</v>
      </c>
      <c r="K3" s="79">
        <f>IFERROR(VLOOKUP(I3,'[1]ABC Master Lists'!$B$2:$I$346,8,FALSE)," ")</f>
        <v>6</v>
      </c>
      <c r="L3" s="120" t="str">
        <f>IFERROR(VLOOKUP(J3,'[1]ABC Master Lists'!$AQ$2:$AS$12,3,FALSE)," ")</f>
        <v>+</v>
      </c>
      <c r="M3" s="120" t="str">
        <f>IFERROR(VLOOKUP(K3,'[1]ABC Master Lists'!$AD$2:$AE$22,2,FALSE), " ")</f>
        <v>+</v>
      </c>
    </row>
    <row r="4" spans="1:13" x14ac:dyDescent="0.25">
      <c r="D4" s="26">
        <v>3</v>
      </c>
      <c r="E4" s="24" t="s">
        <v>3</v>
      </c>
      <c r="F4" s="4">
        <v>0.75</v>
      </c>
      <c r="G4" s="32" t="s">
        <v>4</v>
      </c>
      <c r="H4" s="36" t="s">
        <v>5</v>
      </c>
      <c r="I4" s="36">
        <v>138</v>
      </c>
      <c r="J4" s="81">
        <f>IFERROR(VLOOKUP(I4,'[1]ABC Master Lists'!$B$2:$I$346,4,FALSE)," ")</f>
        <v>11</v>
      </c>
      <c r="K4" s="27">
        <f>IFERROR(VLOOKUP(I4,'[1]ABC Master Lists'!$B$2:$I$346,8,FALSE)," ")</f>
        <v>6</v>
      </c>
      <c r="L4" s="120" t="str">
        <f>IFERROR(VLOOKUP(J4,'[1]ABC Master Lists'!$AQ$2:$AS$12,3,FALSE)," ")</f>
        <v>+</v>
      </c>
      <c r="M4" s="120" t="str">
        <f>IFERROR(VLOOKUP(K4,'[1]ABC Master Lists'!$AD$2:$AE$22,2,FALSE), " ")</f>
        <v>+</v>
      </c>
    </row>
    <row r="5" spans="1:13" x14ac:dyDescent="0.25">
      <c r="D5" s="27">
        <v>4</v>
      </c>
      <c r="E5" s="30" t="s">
        <v>3</v>
      </c>
      <c r="F5" s="17">
        <v>1</v>
      </c>
      <c r="G5" s="33" t="s">
        <v>4</v>
      </c>
      <c r="H5" s="37" t="s">
        <v>5</v>
      </c>
      <c r="I5" s="37">
        <v>140</v>
      </c>
      <c r="J5" s="79">
        <f>IFERROR(VLOOKUP(I5,'[1]ABC Master Lists'!$B$2:$I$346,4,FALSE)," ")</f>
        <v>11</v>
      </c>
      <c r="K5" s="79">
        <f>IFERROR(VLOOKUP(I5,'[1]ABC Master Lists'!$B$2:$I$346,8,FALSE)," ")</f>
        <v>6</v>
      </c>
      <c r="L5" s="118" t="str">
        <f>IFERROR(VLOOKUP(J5,'[1]ABC Master Lists'!$AQ$2:$AS$12,3,FALSE)," ")</f>
        <v>+</v>
      </c>
      <c r="M5" s="118" t="str">
        <f>IFERROR(VLOOKUP(K5,'[1]ABC Master Lists'!$AD$2:$AE$22,2,FALSE), " ")</f>
        <v>+</v>
      </c>
    </row>
    <row r="6" spans="1:13" x14ac:dyDescent="0.25">
      <c r="D6" s="26">
        <v>7</v>
      </c>
      <c r="E6" s="24" t="s">
        <v>6</v>
      </c>
      <c r="F6" s="4">
        <v>8</v>
      </c>
      <c r="G6" s="32" t="s">
        <v>7</v>
      </c>
      <c r="H6" s="36" t="s">
        <v>5</v>
      </c>
      <c r="I6" s="36">
        <v>14</v>
      </c>
      <c r="J6" s="83">
        <f>IFERROR(VLOOKUP(I6,'[1]ABC Master Lists'!$B$2:$I$346,4,FALSE)," ")</f>
        <v>20</v>
      </c>
      <c r="K6" s="28">
        <f>IFERROR(VLOOKUP(I6,'[1]ABC Master Lists'!$B$2:$I$346,8,FALSE)," ")</f>
        <v>6</v>
      </c>
      <c r="L6" s="122" t="str">
        <f>IFERROR(VLOOKUP(J6,'[1]ABC Master Lists'!$AQ$2:$AS$12,3,FALSE)," ")</f>
        <v>+</v>
      </c>
      <c r="M6" s="122" t="str">
        <f>IFERROR(VLOOKUP(K6,'[1]ABC Master Lists'!$AD$2:$AE$22,2,FALSE), " ")</f>
        <v>+</v>
      </c>
    </row>
    <row r="7" spans="1:13" x14ac:dyDescent="0.25">
      <c r="E7" s="24" t="s">
        <v>174</v>
      </c>
      <c r="F7" s="4">
        <v>0.25</v>
      </c>
      <c r="G7" s="32" t="s">
        <v>9</v>
      </c>
      <c r="H7" s="36" t="s">
        <v>5</v>
      </c>
      <c r="J7" s="82" t="str">
        <f>IFERROR(VLOOKUP(I7,'[1]ABC Master Lists'!$B$2:$I$346,4,FALSE)," ")</f>
        <v xml:space="preserve"> </v>
      </c>
      <c r="K7" s="29" t="str">
        <f>IFERROR(VLOOKUP(I7,'[1]ABC Master Lists'!$B$2:$I$346,8,FALSE)," ")</f>
        <v xml:space="preserve"> </v>
      </c>
      <c r="L7" s="121" t="str">
        <f>IFERROR(VLOOKUP(J7,'[1]ABC Master Lists'!$AQ$2:$AS$12,3,FALSE)," ")</f>
        <v xml:space="preserve"> </v>
      </c>
      <c r="M7" s="121" t="str">
        <f>IFERROR(VLOOKUP(K7,'[1]ABC Master Lists'!$AD$2:$AE$22,2,FALSE), " ")</f>
        <v xml:space="preserve"> </v>
      </c>
    </row>
    <row r="8" spans="1:13" x14ac:dyDescent="0.25">
      <c r="D8" s="28">
        <v>8</v>
      </c>
      <c r="E8" s="31" t="s">
        <v>6</v>
      </c>
      <c r="F8" s="20">
        <v>16</v>
      </c>
      <c r="G8" s="34" t="s">
        <v>7</v>
      </c>
      <c r="H8" s="38" t="s">
        <v>5</v>
      </c>
      <c r="I8" s="38">
        <v>28</v>
      </c>
      <c r="J8" s="79">
        <f>IFERROR(VLOOKUP(I8,'[1]ABC Master Lists'!$B$2:$I$346,4,FALSE)," ")</f>
        <v>20</v>
      </c>
      <c r="K8" s="79">
        <f>IFERROR(VLOOKUP(I8,'[1]ABC Master Lists'!$B$2:$I$346,8,FALSE)," ")</f>
        <v>6</v>
      </c>
      <c r="L8" s="118" t="str">
        <f>IFERROR(VLOOKUP(J8,'[1]ABC Master Lists'!$AQ$2:$AS$12,3,FALSE)," ")</f>
        <v>+</v>
      </c>
      <c r="M8" s="118" t="str">
        <f>IFERROR(VLOOKUP(K8,'[1]ABC Master Lists'!$AD$2:$AE$22,2,FALSE), " ")</f>
        <v>+</v>
      </c>
    </row>
    <row r="9" spans="1:13" x14ac:dyDescent="0.25">
      <c r="D9" s="29"/>
      <c r="E9" s="25" t="s">
        <v>8</v>
      </c>
      <c r="F9" s="23">
        <v>0.25</v>
      </c>
      <c r="G9" s="35" t="s">
        <v>9</v>
      </c>
      <c r="H9" s="39" t="s">
        <v>5</v>
      </c>
      <c r="I9" s="39"/>
      <c r="J9" s="79" t="str">
        <f>IFERROR(VLOOKUP(I9,'[1]ABC Master Lists'!$B$2:$I$346,4,FALSE)," ")</f>
        <v xml:space="preserve"> </v>
      </c>
      <c r="K9" s="79" t="str">
        <f>IFERROR(VLOOKUP(I9,'[1]ABC Master Lists'!$B$2:$I$346,8,FALSE)," ")</f>
        <v xml:space="preserve"> </v>
      </c>
      <c r="L9" s="118" t="str">
        <f>IFERROR(VLOOKUP(J9,'[1]ABC Master Lists'!$AQ$2:$AS$12,3,FALSE)," ")</f>
        <v xml:space="preserve"> </v>
      </c>
      <c r="M9" s="118" t="str">
        <f>IFERROR(VLOOKUP(K9,'[1]ABC Master Lists'!$AD$2:$AE$22,2,FALSE), " ")</f>
        <v xml:space="preserve"> </v>
      </c>
    </row>
    <row r="10" spans="1:13" x14ac:dyDescent="0.25">
      <c r="D10" s="26">
        <v>10</v>
      </c>
      <c r="E10" s="24" t="s">
        <v>10</v>
      </c>
      <c r="F10" s="4">
        <v>8</v>
      </c>
      <c r="G10" s="32" t="s">
        <v>11</v>
      </c>
      <c r="H10" s="36" t="s">
        <v>5</v>
      </c>
      <c r="I10" s="36">
        <v>90</v>
      </c>
      <c r="J10" s="83">
        <f>IFERROR(VLOOKUP(I10,'[1]ABC Master Lists'!$B$2:$I$346,4,FALSE)," ")</f>
        <v>4</v>
      </c>
      <c r="K10" s="28">
        <f>IFERROR(VLOOKUP(I10,'[1]ABC Master Lists'!$B$2:$I$346,8,FALSE)," ")</f>
        <v>6</v>
      </c>
      <c r="L10" s="122" t="str">
        <f>IFERROR(VLOOKUP(J10,'[1]ABC Master Lists'!$AQ$2:$AS$12,3,FALSE)," ")</f>
        <v>+</v>
      </c>
      <c r="M10" s="122" t="str">
        <f>IFERROR(VLOOKUP(K10,'[1]ABC Master Lists'!$AD$2:$AE$22,2,FALSE), " ")</f>
        <v>+</v>
      </c>
    </row>
    <row r="11" spans="1:13" x14ac:dyDescent="0.25">
      <c r="E11" s="24" t="s">
        <v>8</v>
      </c>
      <c r="F11" s="4">
        <v>0.25</v>
      </c>
      <c r="G11" s="32" t="s">
        <v>9</v>
      </c>
      <c r="H11" s="36" t="s">
        <v>5</v>
      </c>
      <c r="J11" s="82" t="str">
        <f>IFERROR(VLOOKUP(I11,'[1]ABC Master Lists'!$B$2:$I$346,4,FALSE)," ")</f>
        <v xml:space="preserve"> </v>
      </c>
      <c r="K11" s="29" t="str">
        <f>IFERROR(VLOOKUP(I11,'[1]ABC Master Lists'!$B$2:$I$346,8,FALSE)," ")</f>
        <v xml:space="preserve"> </v>
      </c>
      <c r="L11" s="121" t="str">
        <f>IFERROR(VLOOKUP(J11,'[1]ABC Master Lists'!$AQ$2:$AS$12,3,FALSE)," ")</f>
        <v xml:space="preserve"> </v>
      </c>
      <c r="M11" s="121" t="str">
        <f>IFERROR(VLOOKUP(K11,'[1]ABC Master Lists'!$AD$2:$AE$22,2,FALSE), " ")</f>
        <v xml:space="preserve"> </v>
      </c>
    </row>
    <row r="12" spans="1:13" x14ac:dyDescent="0.25">
      <c r="D12" s="27">
        <v>11</v>
      </c>
      <c r="E12" s="30" t="s">
        <v>12</v>
      </c>
      <c r="F12" s="17">
        <v>20</v>
      </c>
      <c r="G12" s="33" t="s">
        <v>7</v>
      </c>
      <c r="H12" s="37" t="s">
        <v>5</v>
      </c>
      <c r="I12" s="37">
        <v>210</v>
      </c>
      <c r="J12" s="79">
        <f>IFERROR(VLOOKUP(I12,'[1]ABC Master Lists'!$B$2:$I$346,4,FALSE)," ")</f>
        <v>28</v>
      </c>
      <c r="K12" s="79">
        <f>IFERROR(VLOOKUP(I12,'[1]ABC Master Lists'!$B$2:$I$346,8,FALSE)," ")</f>
        <v>6</v>
      </c>
      <c r="L12" s="118" t="str">
        <f>IFERROR(VLOOKUP(J12,'[1]ABC Master Lists'!$AQ$2:$AS$12,3,FALSE)," ")</f>
        <v>+</v>
      </c>
      <c r="M12" s="118" t="str">
        <f>IFERROR(VLOOKUP(K12,'[1]ABC Master Lists'!$AD$2:$AE$22,2,FALSE), " ")</f>
        <v>+</v>
      </c>
    </row>
    <row r="13" spans="1:13" x14ac:dyDescent="0.25">
      <c r="D13" s="26">
        <v>12</v>
      </c>
      <c r="E13" s="24" t="s">
        <v>13</v>
      </c>
      <c r="F13" s="4">
        <v>3</v>
      </c>
      <c r="G13" s="32" t="s">
        <v>7</v>
      </c>
      <c r="H13" s="36" t="s">
        <v>5</v>
      </c>
      <c r="I13" s="36">
        <v>156</v>
      </c>
      <c r="J13" s="81">
        <f>IFERROR(VLOOKUP(I13,'[1]ABC Master Lists'!$B$2:$I$346,4,FALSE)," ")</f>
        <v>22</v>
      </c>
      <c r="K13" s="27">
        <f>IFERROR(VLOOKUP(I13,'[1]ABC Master Lists'!$B$2:$I$346,8,FALSE)," ")</f>
        <v>6</v>
      </c>
      <c r="L13" s="120" t="str">
        <f>IFERROR(VLOOKUP(J13,'[1]ABC Master Lists'!$AQ$2:$AS$12,3,FALSE)," ")</f>
        <v>+</v>
      </c>
      <c r="M13" s="120" t="str">
        <f>IFERROR(VLOOKUP(K13,'[1]ABC Master Lists'!$AD$2:$AE$22,2,FALSE), " ")</f>
        <v>+</v>
      </c>
    </row>
    <row r="14" spans="1:13" x14ac:dyDescent="0.25">
      <c r="D14" s="28">
        <v>13</v>
      </c>
      <c r="E14" s="31" t="s">
        <v>14</v>
      </c>
      <c r="F14" s="20">
        <v>6</v>
      </c>
      <c r="G14" s="34" t="s">
        <v>7</v>
      </c>
      <c r="H14" s="38" t="s">
        <v>5</v>
      </c>
      <c r="I14" s="38">
        <v>110</v>
      </c>
      <c r="J14" s="79">
        <f>IFERROR(VLOOKUP(I14,'[1]ABC Master Lists'!$B$2:$I$346,4,FALSE)," ")</f>
        <v>24</v>
      </c>
      <c r="K14" s="79">
        <f>IFERROR(VLOOKUP(I14,'[1]ABC Master Lists'!$B$2:$I$346,8,FALSE)," ")</f>
        <v>6</v>
      </c>
      <c r="L14" s="118" t="str">
        <f>IFERROR(VLOOKUP(J14,'[1]ABC Master Lists'!$AQ$2:$AS$12,3,FALSE)," ")</f>
        <v xml:space="preserve"> </v>
      </c>
      <c r="M14" s="118" t="str">
        <f>IFERROR(VLOOKUP(K14,'[1]ABC Master Lists'!$AD$2:$AE$22,2,FALSE), " ")</f>
        <v>+</v>
      </c>
    </row>
    <row r="15" spans="1:13" x14ac:dyDescent="0.25">
      <c r="D15" s="29"/>
      <c r="E15" s="25" t="s">
        <v>8</v>
      </c>
      <c r="F15" s="23">
        <v>0.25</v>
      </c>
      <c r="G15" s="35" t="s">
        <v>9</v>
      </c>
      <c r="H15" s="39" t="s">
        <v>5</v>
      </c>
      <c r="I15" s="39"/>
      <c r="J15" s="79" t="str">
        <f>IFERROR(VLOOKUP(I15,'[1]ABC Master Lists'!$B$2:$I$346,4,FALSE)," ")</f>
        <v xml:space="preserve"> </v>
      </c>
      <c r="K15" s="79" t="str">
        <f>IFERROR(VLOOKUP(I15,'[1]ABC Master Lists'!$B$2:$I$346,8,FALSE)," ")</f>
        <v xml:space="preserve"> </v>
      </c>
      <c r="L15" s="118" t="str">
        <f>IFERROR(VLOOKUP(J15,'[1]ABC Master Lists'!$AQ$2:$AS$12,3,FALSE)," ")</f>
        <v xml:space="preserve"> </v>
      </c>
      <c r="M15" s="118" t="str">
        <f>IFERROR(VLOOKUP(K15,'[1]ABC Master Lists'!$AD$2:$AE$22,2,FALSE), " ")</f>
        <v xml:space="preserve"> </v>
      </c>
    </row>
    <row r="16" spans="1:13" x14ac:dyDescent="0.25">
      <c r="D16" s="26">
        <v>14</v>
      </c>
      <c r="E16" s="24" t="s">
        <v>15</v>
      </c>
      <c r="F16" s="4">
        <v>5</v>
      </c>
      <c r="G16" s="32" t="s">
        <v>7</v>
      </c>
      <c r="H16" s="36" t="s">
        <v>5</v>
      </c>
      <c r="I16" s="36">
        <v>74</v>
      </c>
      <c r="J16" s="81">
        <f>IFERROR(VLOOKUP(I16,'[1]ABC Master Lists'!$B$2:$I$346,4,FALSE)," ")</f>
        <v>26</v>
      </c>
      <c r="K16" s="27">
        <f>IFERROR(VLOOKUP(I16,'[1]ABC Master Lists'!$B$2:$I$346,8,FALSE)," ")</f>
        <v>6</v>
      </c>
      <c r="L16" s="120" t="str">
        <f>IFERROR(VLOOKUP(J16,'[1]ABC Master Lists'!$AQ$2:$AS$12,3,FALSE)," ")</f>
        <v>+</v>
      </c>
      <c r="M16" s="120" t="str">
        <f>IFERROR(VLOOKUP(K16,'[1]ABC Master Lists'!$AD$2:$AE$22,2,FALSE), " ")</f>
        <v>+</v>
      </c>
    </row>
    <row r="17" spans="1:13" x14ac:dyDescent="0.25">
      <c r="D17" s="27">
        <v>15</v>
      </c>
      <c r="E17" s="30" t="s">
        <v>16</v>
      </c>
      <c r="F17" s="17">
        <v>6</v>
      </c>
      <c r="G17" s="33" t="s">
        <v>7</v>
      </c>
      <c r="H17" s="37" t="s">
        <v>5</v>
      </c>
      <c r="I17" s="37">
        <v>179</v>
      </c>
      <c r="J17" s="79">
        <f>IFERROR(VLOOKUP(I17,'[1]ABC Master Lists'!$B$2:$I$346,4,FALSE)," ")</f>
        <v>1</v>
      </c>
      <c r="K17" s="79">
        <f>IFERROR(VLOOKUP(I17,'[1]ABC Master Lists'!$B$2:$I$346,8,FALSE)," ")</f>
        <v>6</v>
      </c>
      <c r="L17" s="118" t="str">
        <f>IFERROR(VLOOKUP(J17,'[1]ABC Master Lists'!$AQ$2:$AS$12,3,FALSE)," ")</f>
        <v xml:space="preserve"> </v>
      </c>
      <c r="M17" s="118" t="str">
        <f>IFERROR(VLOOKUP(K17,'[1]ABC Master Lists'!$AD$2:$AE$22,2,FALSE), " ")</f>
        <v>+</v>
      </c>
    </row>
    <row r="18" spans="1:13" x14ac:dyDescent="0.25">
      <c r="D18" s="26">
        <v>16</v>
      </c>
      <c r="E18" s="24" t="s">
        <v>17</v>
      </c>
      <c r="F18" s="4">
        <v>10</v>
      </c>
      <c r="G18" s="32" t="s">
        <v>7</v>
      </c>
      <c r="H18" s="36" t="s">
        <v>5</v>
      </c>
      <c r="I18" s="36">
        <v>198</v>
      </c>
      <c r="J18" s="81">
        <f>IFERROR(VLOOKUP(I18,'[1]ABC Master Lists'!$B$2:$I$346,4,FALSE)," ")</f>
        <v>2129</v>
      </c>
      <c r="K18" s="27">
        <f>IFERROR(VLOOKUP(I18,'[1]ABC Master Lists'!$B$2:$I$346,8,FALSE)," ")</f>
        <v>6</v>
      </c>
      <c r="L18" s="120" t="str">
        <f>IFERROR(VLOOKUP(J18,'[1]ABC Master Lists'!$AQ$2:$AS$12,3,FALSE)," ")</f>
        <v xml:space="preserve"> </v>
      </c>
      <c r="M18" s="120" t="str">
        <f>IFERROR(VLOOKUP(K18,'[1]ABC Master Lists'!$AD$2:$AE$22,2,FALSE), " ")</f>
        <v>+</v>
      </c>
    </row>
    <row r="19" spans="1:13" x14ac:dyDescent="0.25">
      <c r="D19" s="28">
        <v>17</v>
      </c>
      <c r="E19" s="31" t="s">
        <v>18</v>
      </c>
      <c r="F19" s="20">
        <v>12.5</v>
      </c>
      <c r="G19" s="34" t="s">
        <v>7</v>
      </c>
      <c r="H19" s="38" t="s">
        <v>5</v>
      </c>
      <c r="I19" s="38">
        <v>58</v>
      </c>
      <c r="J19" s="79">
        <f>IFERROR(VLOOKUP(I19,'[1]ABC Master Lists'!$B$2:$I$346,4,FALSE)," ")</f>
        <v>18</v>
      </c>
      <c r="K19" s="79">
        <f>IFERROR(VLOOKUP(I19,'[1]ABC Master Lists'!$B$2:$I$346,8,FALSE)," ")</f>
        <v>6</v>
      </c>
      <c r="L19" s="118" t="str">
        <f>IFERROR(VLOOKUP(J19,'[1]ABC Master Lists'!$AQ$2:$AS$12,3,FALSE)," ")</f>
        <v>+</v>
      </c>
      <c r="M19" s="118" t="str">
        <f>IFERROR(VLOOKUP(K19,'[1]ABC Master Lists'!$AD$2:$AE$22,2,FALSE), " ")</f>
        <v>+</v>
      </c>
    </row>
    <row r="20" spans="1:13" x14ac:dyDescent="0.25">
      <c r="A20" s="25"/>
      <c r="B20" s="25"/>
      <c r="C20" s="25"/>
      <c r="D20" s="29"/>
      <c r="E20" s="25" t="s">
        <v>19</v>
      </c>
      <c r="F20" s="23">
        <v>1</v>
      </c>
      <c r="G20" s="35" t="s">
        <v>4</v>
      </c>
      <c r="H20" s="39" t="s">
        <v>5</v>
      </c>
      <c r="I20" s="39"/>
      <c r="J20" s="79" t="str">
        <f>IFERROR(VLOOKUP(I20,'[1]ABC Master Lists'!$B$2:$I$346,4,FALSE)," ")</f>
        <v xml:space="preserve"> </v>
      </c>
      <c r="K20" s="79" t="str">
        <f>IFERROR(VLOOKUP(I20,'[1]ABC Master Lists'!$B$2:$I$346,8,FALSE)," ")</f>
        <v xml:space="preserve"> </v>
      </c>
      <c r="L20" s="118" t="str">
        <f>IFERROR(VLOOKUP(J20,'[1]ABC Master Lists'!$AQ$2:$AS$12,3,FALSE)," ")</f>
        <v xml:space="preserve"> </v>
      </c>
      <c r="M20" s="118" t="str">
        <f>IFERROR(VLOOKUP(K20,'[1]ABC Master Lists'!$AD$2:$AE$22,2,FALSE), " ")</f>
        <v xml:space="preserve"> </v>
      </c>
    </row>
    <row r="21" spans="1:13" x14ac:dyDescent="0.25">
      <c r="A21" s="24">
        <v>2010</v>
      </c>
      <c r="B21" s="24" t="s">
        <v>161</v>
      </c>
      <c r="C21" s="24" t="s">
        <v>160</v>
      </c>
      <c r="D21" s="27">
        <v>1</v>
      </c>
      <c r="E21" s="30" t="s">
        <v>1</v>
      </c>
      <c r="F21" s="17" t="s">
        <v>2</v>
      </c>
      <c r="G21" s="33" t="s">
        <v>2</v>
      </c>
      <c r="H21" s="37" t="s">
        <v>2</v>
      </c>
      <c r="I21" s="37">
        <v>1</v>
      </c>
      <c r="J21" s="81" t="str">
        <f>IFERROR(VLOOKUP(I21,'[1]ABC Master Lists'!$B$2:$I$346,4,FALSE)," ")</f>
        <v>.</v>
      </c>
      <c r="K21" s="27" t="str">
        <f>IFERROR(VLOOKUP(I21,'[1]ABC Master Lists'!$B$2:$I$346,8,FALSE)," ")</f>
        <v>.</v>
      </c>
      <c r="L21" s="120" t="str">
        <f>IFERROR(VLOOKUP(J21,'[1]ABC Master Lists'!$AQ$2:$AS$12,3,FALSE)," ")</f>
        <v>+</v>
      </c>
      <c r="M21" s="120" t="str">
        <f>IFERROR(VLOOKUP(K21,'[1]ABC Master Lists'!$AD$2:$AE$22,2,FALSE), " ")</f>
        <v>+</v>
      </c>
    </row>
    <row r="22" spans="1:13" x14ac:dyDescent="0.25">
      <c r="D22" s="26">
        <v>4</v>
      </c>
      <c r="E22" s="40" t="s">
        <v>10</v>
      </c>
      <c r="F22" s="4">
        <v>8</v>
      </c>
      <c r="G22" s="32" t="s">
        <v>11</v>
      </c>
      <c r="H22" s="41" t="s">
        <v>5</v>
      </c>
      <c r="I22" s="36">
        <v>90</v>
      </c>
      <c r="J22" s="79">
        <f>IFERROR(VLOOKUP(I22,'[1]ABC Master Lists'!$B$2:$I$346,4,FALSE)," ")</f>
        <v>4</v>
      </c>
      <c r="K22" s="79">
        <f>IFERROR(VLOOKUP(I22,'[1]ABC Master Lists'!$B$2:$I$346,8,FALSE)," ")</f>
        <v>6</v>
      </c>
      <c r="L22" s="118" t="str">
        <f>IFERROR(VLOOKUP(J22,'[1]ABC Master Lists'!$AQ$2:$AS$12,3,FALSE)," ")</f>
        <v>+</v>
      </c>
      <c r="M22" s="118" t="str">
        <f>IFERROR(VLOOKUP(K22,'[1]ABC Master Lists'!$AD$2:$AE$22,2,FALSE), " ")</f>
        <v>+</v>
      </c>
    </row>
    <row r="23" spans="1:13" x14ac:dyDescent="0.25">
      <c r="E23" s="40" t="s">
        <v>8</v>
      </c>
      <c r="F23" s="4">
        <v>0.25</v>
      </c>
      <c r="G23" s="42" t="s">
        <v>9</v>
      </c>
      <c r="H23" s="41" t="s">
        <v>5</v>
      </c>
      <c r="J23" s="79" t="str">
        <f>IFERROR(VLOOKUP(I23,'[1]ABC Master Lists'!$B$2:$I$346,4,FALSE)," ")</f>
        <v xml:space="preserve"> </v>
      </c>
      <c r="K23" s="79" t="str">
        <f>IFERROR(VLOOKUP(I23,'[1]ABC Master Lists'!$B$2:$I$346,8,FALSE)," ")</f>
        <v xml:space="preserve"> </v>
      </c>
      <c r="L23" s="118" t="str">
        <f>IFERROR(VLOOKUP(J23,'[1]ABC Master Lists'!$AQ$2:$AS$12,3,FALSE)," ")</f>
        <v xml:space="preserve"> </v>
      </c>
      <c r="M23" s="118" t="str">
        <f>IFERROR(VLOOKUP(K23,'[1]ABC Master Lists'!$AD$2:$AE$22,2,FALSE), " ")</f>
        <v xml:space="preserve"> </v>
      </c>
    </row>
    <row r="24" spans="1:13" x14ac:dyDescent="0.25">
      <c r="D24" s="28">
        <v>7</v>
      </c>
      <c r="E24" s="43" t="s">
        <v>10</v>
      </c>
      <c r="F24" s="20">
        <v>8</v>
      </c>
      <c r="G24" s="34" t="s">
        <v>11</v>
      </c>
      <c r="H24" s="44" t="s">
        <v>5</v>
      </c>
      <c r="I24" s="38">
        <v>99</v>
      </c>
      <c r="J24" s="83">
        <f>IFERROR(VLOOKUP(I24,'[1]ABC Master Lists'!$B$2:$I$346,4,FALSE)," ")</f>
        <v>4</v>
      </c>
      <c r="K24" s="28">
        <f>IFERROR(VLOOKUP(I24,'[1]ABC Master Lists'!$B$2:$I$346,8,FALSE)," ")</f>
        <v>68</v>
      </c>
      <c r="L24" s="122" t="str">
        <f>IFERROR(VLOOKUP(J24,'[1]ABC Master Lists'!$AQ$2:$AS$12,3,FALSE)," ")</f>
        <v>+</v>
      </c>
      <c r="M24" s="122" t="str">
        <f>IFERROR(VLOOKUP(K24,'[1]ABC Master Lists'!$AD$2:$AE$22,2,FALSE), " ")</f>
        <v>+</v>
      </c>
    </row>
    <row r="25" spans="1:13" x14ac:dyDescent="0.25">
      <c r="E25" s="40" t="s">
        <v>8</v>
      </c>
      <c r="F25" s="4">
        <v>0.25</v>
      </c>
      <c r="G25" s="42" t="s">
        <v>9</v>
      </c>
      <c r="H25" s="41" t="s">
        <v>5</v>
      </c>
      <c r="J25" s="79" t="str">
        <f>IFERROR(VLOOKUP(I25,'[1]ABC Master Lists'!$B$2:$I$346,4,FALSE)," ")</f>
        <v xml:space="preserve"> </v>
      </c>
      <c r="K25" s="26" t="str">
        <f>IFERROR(VLOOKUP(I25,'[1]ABC Master Lists'!$B$2:$I$346,8,FALSE)," ")</f>
        <v xml:space="preserve"> </v>
      </c>
      <c r="L25" s="118" t="str">
        <f>IFERROR(VLOOKUP(J25,'[1]ABC Master Lists'!$AQ$2:$AS$12,3,FALSE)," ")</f>
        <v xml:space="preserve"> </v>
      </c>
      <c r="M25" s="118" t="str">
        <f>IFERROR(VLOOKUP(K25,'[1]ABC Master Lists'!$AD$2:$AE$22,2,FALSE), " ")</f>
        <v xml:space="preserve"> </v>
      </c>
    </row>
    <row r="26" spans="1:13" x14ac:dyDescent="0.25">
      <c r="E26" s="40" t="s">
        <v>10</v>
      </c>
      <c r="F26" s="4">
        <v>8</v>
      </c>
      <c r="G26" s="32" t="s">
        <v>11</v>
      </c>
      <c r="H26" s="41" t="s">
        <v>20</v>
      </c>
      <c r="J26" s="79" t="str">
        <f>IFERROR(VLOOKUP(I26,'[1]ABC Master Lists'!$B$2:$I$346,4,FALSE)," ")</f>
        <v xml:space="preserve"> </v>
      </c>
      <c r="K26" s="26" t="str">
        <f>IFERROR(VLOOKUP(I26,'[1]ABC Master Lists'!$B$2:$I$346,8,FALSE)," ")</f>
        <v xml:space="preserve"> </v>
      </c>
      <c r="L26" s="118" t="str">
        <f>IFERROR(VLOOKUP(J26,'[1]ABC Master Lists'!$AQ$2:$AS$12,3,FALSE)," ")</f>
        <v xml:space="preserve"> </v>
      </c>
      <c r="M26" s="118" t="str">
        <f>IFERROR(VLOOKUP(K26,'[1]ABC Master Lists'!$AD$2:$AE$22,2,FALSE), " ")</f>
        <v xml:space="preserve"> </v>
      </c>
    </row>
    <row r="27" spans="1:13" x14ac:dyDescent="0.25">
      <c r="D27" s="29"/>
      <c r="E27" s="45" t="s">
        <v>8</v>
      </c>
      <c r="F27" s="23">
        <v>0.25</v>
      </c>
      <c r="G27" s="46" t="s">
        <v>9</v>
      </c>
      <c r="H27" s="47" t="s">
        <v>20</v>
      </c>
      <c r="I27" s="39"/>
      <c r="J27" s="82" t="str">
        <f>IFERROR(VLOOKUP(I27,'[1]ABC Master Lists'!$B$2:$I$346,4,FALSE)," ")</f>
        <v xml:space="preserve"> </v>
      </c>
      <c r="K27" s="29" t="str">
        <f>IFERROR(VLOOKUP(I27,'[1]ABC Master Lists'!$B$2:$I$346,8,FALSE)," ")</f>
        <v xml:space="preserve"> </v>
      </c>
      <c r="L27" s="121" t="str">
        <f>IFERROR(VLOOKUP(J27,'[1]ABC Master Lists'!$AQ$2:$AS$12,3,FALSE)," ")</f>
        <v xml:space="preserve"> </v>
      </c>
      <c r="M27" s="121" t="str">
        <f>IFERROR(VLOOKUP(K27,'[1]ABC Master Lists'!$AD$2:$AE$22,2,FALSE), " ")</f>
        <v xml:space="preserve"> </v>
      </c>
    </row>
    <row r="28" spans="1:13" x14ac:dyDescent="0.25">
      <c r="D28" s="28">
        <v>8</v>
      </c>
      <c r="E28" s="43" t="s">
        <v>15</v>
      </c>
      <c r="F28" s="20">
        <v>5</v>
      </c>
      <c r="G28" s="48" t="s">
        <v>7</v>
      </c>
      <c r="H28" s="44" t="s">
        <v>5</v>
      </c>
      <c r="I28" s="38">
        <v>74</v>
      </c>
      <c r="J28" s="79">
        <f>IFERROR(VLOOKUP(I28,'[1]ABC Master Lists'!$B$2:$I$346,4,FALSE)," ")</f>
        <v>26</v>
      </c>
      <c r="K28" s="79">
        <f>IFERROR(VLOOKUP(I28,'[1]ABC Master Lists'!$B$2:$I$346,8,FALSE)," ")</f>
        <v>6</v>
      </c>
      <c r="L28" s="118" t="str">
        <f>IFERROR(VLOOKUP(J28,'[1]ABC Master Lists'!$AQ$2:$AS$12,3,FALSE)," ")</f>
        <v>+</v>
      </c>
      <c r="M28" s="118" t="str">
        <f>IFERROR(VLOOKUP(K28,'[1]ABC Master Lists'!$AD$2:$AE$22,2,FALSE), " ")</f>
        <v>+</v>
      </c>
    </row>
    <row r="29" spans="1:13" x14ac:dyDescent="0.25">
      <c r="E29" s="40" t="s">
        <v>8</v>
      </c>
      <c r="F29" s="4">
        <v>0.25</v>
      </c>
      <c r="G29" s="42" t="s">
        <v>9</v>
      </c>
      <c r="H29" s="41" t="s">
        <v>5</v>
      </c>
      <c r="J29" s="79" t="str">
        <f>IFERROR(VLOOKUP(I29,'[1]ABC Master Lists'!$B$2:$I$346,4,FALSE)," ")</f>
        <v xml:space="preserve"> </v>
      </c>
      <c r="K29" s="79" t="str">
        <f>IFERROR(VLOOKUP(I29,'[1]ABC Master Lists'!$B$2:$I$346,8,FALSE)," ")</f>
        <v xml:space="preserve"> </v>
      </c>
      <c r="L29" s="118" t="str">
        <f>IFERROR(VLOOKUP(J29,'[1]ABC Master Lists'!$AQ$2:$AS$12,3,FALSE)," ")</f>
        <v xml:space="preserve"> </v>
      </c>
      <c r="M29" s="118" t="str">
        <f>IFERROR(VLOOKUP(K29,'[1]ABC Master Lists'!$AD$2:$AE$22,2,FALSE), " ")</f>
        <v xml:space="preserve"> </v>
      </c>
    </row>
    <row r="30" spans="1:13" x14ac:dyDescent="0.25">
      <c r="D30" s="28">
        <v>9</v>
      </c>
      <c r="E30" s="43" t="s">
        <v>13</v>
      </c>
      <c r="F30" s="20">
        <v>3</v>
      </c>
      <c r="G30" s="48" t="s">
        <v>7</v>
      </c>
      <c r="H30" s="44" t="s">
        <v>5</v>
      </c>
      <c r="I30" s="38">
        <v>156</v>
      </c>
      <c r="J30" s="83">
        <f>IFERROR(VLOOKUP(I30,'[1]ABC Master Lists'!$B$2:$I$346,4,FALSE)," ")</f>
        <v>22</v>
      </c>
      <c r="K30" s="28">
        <f>IFERROR(VLOOKUP(I30,'[1]ABC Master Lists'!$B$2:$I$346,8,FALSE)," ")</f>
        <v>6</v>
      </c>
      <c r="L30" s="122" t="str">
        <f>IFERROR(VLOOKUP(J30,'[1]ABC Master Lists'!$AQ$2:$AS$12,3,FALSE)," ")</f>
        <v>+</v>
      </c>
      <c r="M30" s="122" t="str">
        <f>IFERROR(VLOOKUP(K30,'[1]ABC Master Lists'!$AD$2:$AE$22,2,FALSE), " ")</f>
        <v>+</v>
      </c>
    </row>
    <row r="31" spans="1:13" x14ac:dyDescent="0.25">
      <c r="D31" s="29"/>
      <c r="E31" s="45" t="s">
        <v>8</v>
      </c>
      <c r="F31" s="23">
        <v>0.25</v>
      </c>
      <c r="G31" s="46" t="s">
        <v>9</v>
      </c>
      <c r="H31" s="47" t="s">
        <v>5</v>
      </c>
      <c r="I31" s="39"/>
      <c r="J31" s="82" t="str">
        <f>IFERROR(VLOOKUP(I31,'[1]ABC Master Lists'!$B$2:$I$346,4,FALSE)," ")</f>
        <v xml:space="preserve"> </v>
      </c>
      <c r="K31" s="29" t="str">
        <f>IFERROR(VLOOKUP(I31,'[1]ABC Master Lists'!$B$2:$I$346,8,FALSE)," ")</f>
        <v xml:space="preserve"> </v>
      </c>
      <c r="L31" s="121" t="str">
        <f>IFERROR(VLOOKUP(J31,'[1]ABC Master Lists'!$AQ$2:$AS$12,3,FALSE)," ")</f>
        <v xml:space="preserve"> </v>
      </c>
      <c r="M31" s="121" t="str">
        <f>IFERROR(VLOOKUP(K31,'[1]ABC Master Lists'!$AD$2:$AE$22,2,FALSE), " ")</f>
        <v xml:space="preserve"> </v>
      </c>
    </row>
    <row r="32" spans="1:13" x14ac:dyDescent="0.25">
      <c r="D32" s="28">
        <v>10</v>
      </c>
      <c r="E32" s="43" t="s">
        <v>18</v>
      </c>
      <c r="F32" s="20">
        <v>6</v>
      </c>
      <c r="G32" s="48" t="s">
        <v>7</v>
      </c>
      <c r="H32" s="44" t="s">
        <v>5</v>
      </c>
      <c r="I32" s="38">
        <v>52</v>
      </c>
      <c r="J32" s="83">
        <f>IFERROR(VLOOKUP(I32,'[1]ABC Master Lists'!$B$2:$I$346,4,FALSE)," ")</f>
        <v>18</v>
      </c>
      <c r="K32" s="28">
        <f>IFERROR(VLOOKUP(I32,'[1]ABC Master Lists'!$B$2:$I$346,8,FALSE)," ")</f>
        <v>6</v>
      </c>
      <c r="L32" s="118" t="str">
        <f>IFERROR(VLOOKUP(J32,'[1]ABC Master Lists'!$AQ$2:$AS$12,3,FALSE)," ")</f>
        <v>+</v>
      </c>
      <c r="M32" s="118" t="str">
        <f>IFERROR(VLOOKUP(K32,'[1]ABC Master Lists'!$AD$2:$AE$22,2,FALSE), " ")</f>
        <v>+</v>
      </c>
    </row>
    <row r="33" spans="4:13" x14ac:dyDescent="0.25">
      <c r="D33" s="29"/>
      <c r="E33" s="45" t="s">
        <v>19</v>
      </c>
      <c r="F33" s="23">
        <v>1</v>
      </c>
      <c r="G33" s="46" t="s">
        <v>21</v>
      </c>
      <c r="H33" s="47" t="s">
        <v>5</v>
      </c>
      <c r="I33" s="39"/>
      <c r="J33" s="82" t="str">
        <f>IFERROR(VLOOKUP(I33,'[1]ABC Master Lists'!$B$2:$I$346,4,FALSE)," ")</f>
        <v xml:space="preserve"> </v>
      </c>
      <c r="K33" s="29" t="str">
        <f>IFERROR(VLOOKUP(I33,'[1]ABC Master Lists'!$B$2:$I$346,8,FALSE)," ")</f>
        <v xml:space="preserve"> </v>
      </c>
      <c r="L33" s="118" t="str">
        <f>IFERROR(VLOOKUP(J33,'[1]ABC Master Lists'!$AQ$2:$AS$12,3,FALSE)," ")</f>
        <v xml:space="preserve"> </v>
      </c>
      <c r="M33" s="118" t="str">
        <f>IFERROR(VLOOKUP(K33,'[1]ABC Master Lists'!$AD$2:$AE$22,2,FALSE), " ")</f>
        <v xml:space="preserve"> </v>
      </c>
    </row>
    <row r="34" spans="4:13" x14ac:dyDescent="0.25">
      <c r="D34" s="26">
        <v>11</v>
      </c>
      <c r="E34" s="40" t="s">
        <v>13</v>
      </c>
      <c r="F34" s="4">
        <v>3</v>
      </c>
      <c r="G34" s="42" t="s">
        <v>7</v>
      </c>
      <c r="H34" s="41" t="s">
        <v>5</v>
      </c>
      <c r="I34" s="36">
        <v>156</v>
      </c>
      <c r="J34" s="79">
        <f>IFERROR(VLOOKUP(I34,'[1]ABC Master Lists'!$B$2:$I$346,4,FALSE)," ")</f>
        <v>22</v>
      </c>
      <c r="K34" s="79">
        <f>IFERROR(VLOOKUP(I34,'[1]ABC Master Lists'!$B$2:$I$346,8,FALSE)," ")</f>
        <v>6</v>
      </c>
      <c r="L34" s="120" t="str">
        <f>IFERROR(VLOOKUP(J34,'[1]ABC Master Lists'!$AQ$2:$AS$12,3,FALSE)," ")</f>
        <v>+</v>
      </c>
      <c r="M34" s="120" t="str">
        <f>IFERROR(VLOOKUP(K34,'[1]ABC Master Lists'!$AD$2:$AE$22,2,FALSE), " ")</f>
        <v>+</v>
      </c>
    </row>
    <row r="35" spans="4:13" x14ac:dyDescent="0.25">
      <c r="D35" s="27">
        <v>12</v>
      </c>
      <c r="E35" s="84" t="s">
        <v>15</v>
      </c>
      <c r="F35" s="17">
        <v>5</v>
      </c>
      <c r="G35" s="85" t="s">
        <v>7</v>
      </c>
      <c r="H35" s="37" t="s">
        <v>20</v>
      </c>
      <c r="I35" s="37">
        <v>76</v>
      </c>
      <c r="J35" s="81">
        <f>IFERROR(VLOOKUP(I35,'[1]ABC Master Lists'!$B$2:$I$346,4,FALSE)," ")</f>
        <v>26</v>
      </c>
      <c r="K35" s="27">
        <f>IFERROR(VLOOKUP(I35,'[1]ABC Master Lists'!$B$2:$I$346,8,FALSE)," ")</f>
        <v>8</v>
      </c>
      <c r="L35" s="118" t="str">
        <f>IFERROR(VLOOKUP(J35,'[1]ABC Master Lists'!$AQ$2:$AS$12,3,FALSE)," ")</f>
        <v>+</v>
      </c>
      <c r="M35" s="118" t="str">
        <f>IFERROR(VLOOKUP(K35,'[1]ABC Master Lists'!$AD$2:$AE$22,2,FALSE), " ")</f>
        <v>+</v>
      </c>
    </row>
    <row r="36" spans="4:13" x14ac:dyDescent="0.25">
      <c r="D36" s="26">
        <v>13</v>
      </c>
      <c r="E36" s="40" t="s">
        <v>15</v>
      </c>
      <c r="F36" s="4">
        <v>5</v>
      </c>
      <c r="G36" s="42" t="s">
        <v>7</v>
      </c>
      <c r="H36" s="41" t="s">
        <v>5</v>
      </c>
      <c r="I36" s="36">
        <v>79</v>
      </c>
      <c r="J36" s="79">
        <f>IFERROR(VLOOKUP(I36,'[1]ABC Master Lists'!$B$2:$I$346,4,FALSE)," ")</f>
        <v>26</v>
      </c>
      <c r="K36" s="79">
        <f>IFERROR(VLOOKUP(I36,'[1]ABC Master Lists'!$B$2:$I$346,8,FALSE)," ")</f>
        <v>68</v>
      </c>
      <c r="L36" s="122" t="str">
        <f>IFERROR(VLOOKUP(J36,'[1]ABC Master Lists'!$AQ$2:$AS$12,3,FALSE)," ")</f>
        <v>+</v>
      </c>
      <c r="M36" s="122" t="str">
        <f>IFERROR(VLOOKUP(K36,'[1]ABC Master Lists'!$AD$2:$AE$22,2,FALSE), " ")</f>
        <v>+</v>
      </c>
    </row>
    <row r="37" spans="4:13" x14ac:dyDescent="0.25">
      <c r="E37" s="40" t="s">
        <v>15</v>
      </c>
      <c r="F37" s="4">
        <v>5</v>
      </c>
      <c r="G37" s="42" t="s">
        <v>7</v>
      </c>
      <c r="H37" s="41" t="s">
        <v>20</v>
      </c>
      <c r="J37" s="79" t="str">
        <f>IFERROR(VLOOKUP(I37,'[1]ABC Master Lists'!$B$2:$I$346,4,FALSE)," ")</f>
        <v xml:space="preserve"> </v>
      </c>
      <c r="K37" s="79" t="str">
        <f>IFERROR(VLOOKUP(I37,'[1]ABC Master Lists'!$B$2:$I$346,8,FALSE)," ")</f>
        <v xml:space="preserve"> </v>
      </c>
      <c r="L37" s="121" t="str">
        <f>IFERROR(VLOOKUP(J37,'[1]ABC Master Lists'!$AQ$2:$AS$12,3,FALSE)," ")</f>
        <v xml:space="preserve"> </v>
      </c>
      <c r="M37" s="121" t="str">
        <f>IFERROR(VLOOKUP(K37,'[1]ABC Master Lists'!$AD$2:$AE$22,2,FALSE), " ")</f>
        <v xml:space="preserve"> </v>
      </c>
    </row>
    <row r="38" spans="4:13" x14ac:dyDescent="0.25">
      <c r="D38" s="28">
        <v>14</v>
      </c>
      <c r="E38" s="43" t="s">
        <v>18</v>
      </c>
      <c r="F38" s="20">
        <v>6</v>
      </c>
      <c r="G38" s="48" t="s">
        <v>7</v>
      </c>
      <c r="H38" s="44" t="s">
        <v>22</v>
      </c>
      <c r="I38" s="38">
        <v>50</v>
      </c>
      <c r="J38" s="83">
        <f>IFERROR(VLOOKUP(I38,'[1]ABC Master Lists'!$B$2:$I$346,4,FALSE)," ")</f>
        <v>18</v>
      </c>
      <c r="K38" s="28">
        <f>IFERROR(VLOOKUP(I38,'[1]ABC Master Lists'!$B$2:$I$346,8,FALSE)," ")</f>
        <v>4</v>
      </c>
      <c r="L38" s="118" t="str">
        <f>IFERROR(VLOOKUP(J38,'[1]ABC Master Lists'!$AQ$2:$AS$12,3,FALSE)," ")</f>
        <v>+</v>
      </c>
    </row>
    <row r="39" spans="4:13" x14ac:dyDescent="0.25">
      <c r="D39" s="29"/>
      <c r="E39" s="45" t="s">
        <v>19</v>
      </c>
      <c r="F39" s="23">
        <v>1</v>
      </c>
      <c r="G39" s="46" t="s">
        <v>21</v>
      </c>
      <c r="H39" s="47" t="s">
        <v>22</v>
      </c>
      <c r="I39" s="39"/>
      <c r="J39" s="82" t="str">
        <f>IFERROR(VLOOKUP(I39,'[1]ABC Master Lists'!$B$2:$I$346,4,FALSE)," ")</f>
        <v xml:space="preserve"> </v>
      </c>
      <c r="K39" s="29" t="str">
        <f>IFERROR(VLOOKUP(I39,'[1]ABC Master Lists'!$B$2:$I$346,8,FALSE)," ")</f>
        <v xml:space="preserve"> </v>
      </c>
      <c r="L39" s="118" t="str">
        <f>IFERROR(VLOOKUP(J39,'[1]ABC Master Lists'!$AQ$2:$AS$12,3,FALSE)," ")</f>
        <v xml:space="preserve"> </v>
      </c>
      <c r="M39" s="118" t="str">
        <f>IFERROR(VLOOKUP(K39,'[1]ABC Master Lists'!$AD$2:$AE$22,2,FALSE), " ")</f>
        <v xml:space="preserve"> </v>
      </c>
    </row>
    <row r="40" spans="4:13" x14ac:dyDescent="0.25">
      <c r="D40" s="26">
        <v>15</v>
      </c>
      <c r="E40" s="40" t="s">
        <v>18</v>
      </c>
      <c r="F40" s="4">
        <v>6</v>
      </c>
      <c r="G40" s="42" t="s">
        <v>7</v>
      </c>
      <c r="H40" s="41" t="s">
        <v>22</v>
      </c>
      <c r="I40" s="36">
        <v>63</v>
      </c>
      <c r="J40" s="79">
        <f>IFERROR(VLOOKUP(I40,'[1]ABC Master Lists'!$B$2:$I$346,4,FALSE)," ")</f>
        <v>1826</v>
      </c>
      <c r="K40" s="79">
        <f>IFERROR(VLOOKUP(I40,'[1]ABC Master Lists'!$B$2:$I$346,8,FALSE)," ")</f>
        <v>48</v>
      </c>
      <c r="L40" s="122" t="str">
        <f>IFERROR(VLOOKUP(J40,'[1]ABC Master Lists'!$AQ$2:$AS$12,3,FALSE)," ")</f>
        <v xml:space="preserve"> </v>
      </c>
      <c r="M40" s="122"/>
    </row>
    <row r="41" spans="4:13" x14ac:dyDescent="0.25">
      <c r="E41" s="40" t="s">
        <v>15</v>
      </c>
      <c r="F41" s="4">
        <v>5</v>
      </c>
      <c r="G41" s="42" t="s">
        <v>7</v>
      </c>
      <c r="H41" s="41" t="s">
        <v>20</v>
      </c>
      <c r="J41" s="79" t="str">
        <f>IFERROR(VLOOKUP(I41,'[1]ABC Master Lists'!$B$2:$I$346,4,FALSE)," ")</f>
        <v xml:space="preserve"> </v>
      </c>
      <c r="K41" s="79" t="str">
        <f>IFERROR(VLOOKUP(I41,'[1]ABC Master Lists'!$B$2:$I$346,8,FALSE)," ")</f>
        <v xml:space="preserve"> </v>
      </c>
      <c r="L41" s="121" t="str">
        <f>IFERROR(VLOOKUP(J41,'[1]ABC Master Lists'!$AQ$2:$AS$12,3,FALSE)," ")</f>
        <v xml:space="preserve"> </v>
      </c>
      <c r="M41" s="121" t="str">
        <f>IFERROR(VLOOKUP(K41,'[1]ABC Master Lists'!$AD$2:$AE$22,2,FALSE), " ")</f>
        <v xml:space="preserve"> </v>
      </c>
    </row>
    <row r="42" spans="4:13" x14ac:dyDescent="0.25">
      <c r="D42" s="27">
        <v>16</v>
      </c>
      <c r="E42" s="84" t="s">
        <v>23</v>
      </c>
      <c r="F42" s="17">
        <v>6</v>
      </c>
      <c r="G42" s="85" t="s">
        <v>7</v>
      </c>
      <c r="H42" s="86" t="s">
        <v>5</v>
      </c>
      <c r="I42" s="37">
        <v>110</v>
      </c>
      <c r="J42" s="81">
        <f>IFERROR(VLOOKUP(I42,'[1]ABC Master Lists'!$B$2:$I$346,4,FALSE)," ")</f>
        <v>24</v>
      </c>
      <c r="K42" s="27">
        <f>IFERROR(VLOOKUP(I42,'[1]ABC Master Lists'!$B$2:$I$346,8,FALSE)," ")</f>
        <v>6</v>
      </c>
      <c r="L42" s="118" t="str">
        <f>IFERROR(VLOOKUP(J42,'[1]ABC Master Lists'!$AQ$2:$AS$12,3,FALSE)," ")</f>
        <v xml:space="preserve"> </v>
      </c>
      <c r="M42" s="118" t="str">
        <f>IFERROR(VLOOKUP(K42,'[1]ABC Master Lists'!$AD$2:$AE$22,2,FALSE), " ")</f>
        <v>+</v>
      </c>
    </row>
    <row r="43" spans="4:13" x14ac:dyDescent="0.25">
      <c r="D43" s="26">
        <v>19</v>
      </c>
      <c r="E43" s="40" t="s">
        <v>6</v>
      </c>
      <c r="F43" s="4">
        <v>8</v>
      </c>
      <c r="G43" s="42" t="s">
        <v>7</v>
      </c>
      <c r="H43" s="41" t="s">
        <v>5</v>
      </c>
      <c r="I43" s="36">
        <v>15</v>
      </c>
      <c r="J43" s="79">
        <f>IFERROR(VLOOKUP(I43,'[1]ABC Master Lists'!$B$2:$I$346,4,FALSE)," ")</f>
        <v>20</v>
      </c>
      <c r="K43" s="79">
        <f>IFERROR(VLOOKUP(I43,'[1]ABC Master Lists'!$B$2:$I$346,8,FALSE)," ")</f>
        <v>68</v>
      </c>
      <c r="L43" s="122" t="str">
        <f>IFERROR(VLOOKUP(J43,'[1]ABC Master Lists'!$AQ$2:$AS$12,3,FALSE)," ")</f>
        <v>+</v>
      </c>
      <c r="M43" s="122" t="str">
        <f>IFERROR(VLOOKUP(K43,'[1]ABC Master Lists'!$AD$2:$AE$22,2,FALSE), " ")</f>
        <v>+</v>
      </c>
    </row>
    <row r="44" spans="4:13" x14ac:dyDescent="0.25">
      <c r="E44" s="40" t="s">
        <v>8</v>
      </c>
      <c r="F44" s="4">
        <v>0.25</v>
      </c>
      <c r="G44" s="42" t="s">
        <v>9</v>
      </c>
      <c r="H44" s="41" t="s">
        <v>5</v>
      </c>
      <c r="J44" s="79" t="str">
        <f>IFERROR(VLOOKUP(I44,'[1]ABC Master Lists'!$B$2:$I$346,4,FALSE)," ")</f>
        <v xml:space="preserve"> </v>
      </c>
      <c r="K44" s="79" t="str">
        <f>IFERROR(VLOOKUP(I44,'[1]ABC Master Lists'!$B$2:$I$346,8,FALSE)," ")</f>
        <v xml:space="preserve"> </v>
      </c>
      <c r="L44" s="118" t="str">
        <f>IFERROR(VLOOKUP(J44,'[1]ABC Master Lists'!$AQ$2:$AS$12,3,FALSE)," ")</f>
        <v xml:space="preserve"> </v>
      </c>
      <c r="M44" s="118" t="str">
        <f>IFERROR(VLOOKUP(K44,'[1]ABC Master Lists'!$AD$2:$AE$22,2,FALSE), " ")</f>
        <v xml:space="preserve"> </v>
      </c>
    </row>
    <row r="45" spans="4:13" x14ac:dyDescent="0.25">
      <c r="E45" s="40" t="s">
        <v>6</v>
      </c>
      <c r="F45" s="4">
        <v>8</v>
      </c>
      <c r="G45" s="42" t="s">
        <v>7</v>
      </c>
      <c r="H45" s="36" t="s">
        <v>20</v>
      </c>
      <c r="J45" s="79" t="str">
        <f>IFERROR(VLOOKUP(I45,'[1]ABC Master Lists'!$B$2:$I$346,4,FALSE)," ")</f>
        <v xml:space="preserve"> </v>
      </c>
      <c r="K45" s="79" t="str">
        <f>IFERROR(VLOOKUP(I45,'[1]ABC Master Lists'!$B$2:$I$346,8,FALSE)," ")</f>
        <v xml:space="preserve"> </v>
      </c>
      <c r="L45" s="118" t="str">
        <f>IFERROR(VLOOKUP(J45,'[1]ABC Master Lists'!$AQ$2:$AS$12,3,FALSE)," ")</f>
        <v xml:space="preserve"> </v>
      </c>
      <c r="M45" s="118" t="str">
        <f>IFERROR(VLOOKUP(K45,'[1]ABC Master Lists'!$AD$2:$AE$22,2,FALSE), " ")</f>
        <v xml:space="preserve"> </v>
      </c>
    </row>
    <row r="46" spans="4:13" x14ac:dyDescent="0.25">
      <c r="E46" s="40" t="s">
        <v>8</v>
      </c>
      <c r="F46" s="4">
        <v>0.25</v>
      </c>
      <c r="G46" s="42" t="s">
        <v>9</v>
      </c>
      <c r="H46" s="36" t="s">
        <v>20</v>
      </c>
      <c r="J46" s="79" t="str">
        <f>IFERROR(VLOOKUP(I46,'[1]ABC Master Lists'!$B$2:$I$346,4,FALSE)," ")</f>
        <v xml:space="preserve"> </v>
      </c>
      <c r="K46" s="79" t="str">
        <f>IFERROR(VLOOKUP(I46,'[1]ABC Master Lists'!$B$2:$I$346,8,FALSE)," ")</f>
        <v xml:space="preserve"> </v>
      </c>
      <c r="L46" s="121" t="str">
        <f>IFERROR(VLOOKUP(J46,'[1]ABC Master Lists'!$AQ$2:$AS$12,3,FALSE)," ")</f>
        <v xml:space="preserve"> </v>
      </c>
      <c r="M46" s="121" t="str">
        <f>IFERROR(VLOOKUP(K46,'[1]ABC Master Lists'!$AD$2:$AE$22,2,FALSE), " ")</f>
        <v xml:space="preserve"> </v>
      </c>
    </row>
    <row r="47" spans="4:13" x14ac:dyDescent="0.25">
      <c r="D47" s="28">
        <v>20</v>
      </c>
      <c r="E47" s="43" t="s">
        <v>6</v>
      </c>
      <c r="F47" s="20">
        <v>12</v>
      </c>
      <c r="G47" s="48" t="s">
        <v>7</v>
      </c>
      <c r="H47" s="44" t="s">
        <v>5</v>
      </c>
      <c r="I47" s="38">
        <v>26</v>
      </c>
      <c r="J47" s="83">
        <f>IFERROR(VLOOKUP(I47,'[1]ABC Master Lists'!$B$2:$I$346,4,FALSE)," ")</f>
        <v>20</v>
      </c>
      <c r="K47" s="28">
        <f>IFERROR(VLOOKUP(I47,'[1]ABC Master Lists'!$B$2:$I$346,8,FALSE)," ")</f>
        <v>68</v>
      </c>
      <c r="L47" s="118" t="str">
        <f>IFERROR(VLOOKUP(J47,'[1]ABC Master Lists'!$AQ$2:$AS$12,3,FALSE)," ")</f>
        <v>+</v>
      </c>
      <c r="M47" s="118" t="str">
        <f>IFERROR(VLOOKUP(K47,'[1]ABC Master Lists'!$AD$2:$AE$22,2,FALSE), " ")</f>
        <v>+</v>
      </c>
    </row>
    <row r="48" spans="4:13" x14ac:dyDescent="0.25">
      <c r="E48" s="40" t="s">
        <v>8</v>
      </c>
      <c r="F48" s="4">
        <v>0.25</v>
      </c>
      <c r="G48" s="42" t="s">
        <v>9</v>
      </c>
      <c r="H48" s="41" t="s">
        <v>5</v>
      </c>
      <c r="J48" s="79" t="str">
        <f>IFERROR(VLOOKUP(I48,'[1]ABC Master Lists'!$B$2:$I$346,4,FALSE)," ")</f>
        <v xml:space="preserve"> </v>
      </c>
      <c r="K48" s="26" t="str">
        <f>IFERROR(VLOOKUP(I48,'[1]ABC Master Lists'!$B$2:$I$346,8,FALSE)," ")</f>
        <v xml:space="preserve"> </v>
      </c>
      <c r="L48" s="118" t="str">
        <f>IFERROR(VLOOKUP(J48,'[1]ABC Master Lists'!$AQ$2:$AS$12,3,FALSE)," ")</f>
        <v xml:space="preserve"> </v>
      </c>
      <c r="M48" s="118" t="str">
        <f>IFERROR(VLOOKUP(K48,'[1]ABC Master Lists'!$AD$2:$AE$22,2,FALSE), " ")</f>
        <v xml:space="preserve"> </v>
      </c>
    </row>
    <row r="49" spans="4:13" x14ac:dyDescent="0.25">
      <c r="E49" s="40" t="s">
        <v>6</v>
      </c>
      <c r="F49" s="4">
        <v>12</v>
      </c>
      <c r="G49" s="42" t="s">
        <v>7</v>
      </c>
      <c r="H49" s="36" t="s">
        <v>20</v>
      </c>
      <c r="J49" s="79" t="str">
        <f>IFERROR(VLOOKUP(I49,'[1]ABC Master Lists'!$B$2:$I$346,4,FALSE)," ")</f>
        <v xml:space="preserve"> </v>
      </c>
      <c r="K49" s="26" t="str">
        <f>IFERROR(VLOOKUP(I49,'[1]ABC Master Lists'!$B$2:$I$346,8,FALSE)," ")</f>
        <v xml:space="preserve"> </v>
      </c>
      <c r="L49" s="118" t="str">
        <f>IFERROR(VLOOKUP(J49,'[1]ABC Master Lists'!$AQ$2:$AS$12,3,FALSE)," ")</f>
        <v xml:space="preserve"> </v>
      </c>
      <c r="M49" s="118" t="str">
        <f>IFERROR(VLOOKUP(K49,'[1]ABC Master Lists'!$AD$2:$AE$22,2,FALSE), " ")</f>
        <v xml:space="preserve"> </v>
      </c>
    </row>
    <row r="50" spans="4:13" x14ac:dyDescent="0.25">
      <c r="D50" s="29"/>
      <c r="E50" s="45" t="s">
        <v>8</v>
      </c>
      <c r="F50" s="23">
        <v>0.25</v>
      </c>
      <c r="G50" s="46" t="s">
        <v>9</v>
      </c>
      <c r="H50" s="39" t="s">
        <v>20</v>
      </c>
      <c r="I50" s="39"/>
      <c r="J50" s="82" t="str">
        <f>IFERROR(VLOOKUP(I50,'[1]ABC Master Lists'!$B$2:$I$346,4,FALSE)," ")</f>
        <v xml:space="preserve"> </v>
      </c>
      <c r="K50" s="29" t="str">
        <f>IFERROR(VLOOKUP(I50,'[1]ABC Master Lists'!$B$2:$I$346,8,FALSE)," ")</f>
        <v xml:space="preserve"> </v>
      </c>
      <c r="L50" s="118" t="str">
        <f>IFERROR(VLOOKUP(J50,'[1]ABC Master Lists'!$AQ$2:$AS$12,3,FALSE)," ")</f>
        <v xml:space="preserve"> </v>
      </c>
      <c r="M50" s="118" t="str">
        <f>IFERROR(VLOOKUP(K50,'[1]ABC Master Lists'!$AD$2:$AE$22,2,FALSE), " ")</f>
        <v xml:space="preserve"> </v>
      </c>
    </row>
    <row r="51" spans="4:13" x14ac:dyDescent="0.25">
      <c r="D51" s="26">
        <v>25</v>
      </c>
      <c r="E51" s="40" t="s">
        <v>24</v>
      </c>
      <c r="F51" s="4">
        <v>4</v>
      </c>
      <c r="G51" s="42" t="s">
        <v>7</v>
      </c>
      <c r="H51" s="41" t="s">
        <v>5</v>
      </c>
      <c r="I51" s="36">
        <v>8</v>
      </c>
      <c r="J51" s="79">
        <f>IFERROR(VLOOKUP(I51,'[1]ABC Master Lists'!$B$2:$I$346,4,FALSE)," ")</f>
        <v>8</v>
      </c>
      <c r="K51" s="79">
        <f>IFERROR(VLOOKUP(I51,'[1]ABC Master Lists'!$B$2:$I$346,8,FALSE)," ")</f>
        <v>6</v>
      </c>
      <c r="L51" s="122" t="str">
        <f>IFERROR(VLOOKUP(J51,'[1]ABC Master Lists'!$AQ$2:$AS$12,3,FALSE)," ")</f>
        <v xml:space="preserve"> </v>
      </c>
      <c r="M51" s="122" t="str">
        <f>IFERROR(VLOOKUP(K51,'[1]ABC Master Lists'!$AD$2:$AE$22,2,FALSE), " ")</f>
        <v>+</v>
      </c>
    </row>
    <row r="52" spans="4:13" x14ac:dyDescent="0.25">
      <c r="E52" s="40" t="s">
        <v>19</v>
      </c>
      <c r="F52" s="4">
        <v>1</v>
      </c>
      <c r="G52" s="42" t="s">
        <v>25</v>
      </c>
      <c r="H52" s="41" t="s">
        <v>5</v>
      </c>
      <c r="J52" s="79" t="str">
        <f>IFERROR(VLOOKUP(I52,'[1]ABC Master Lists'!$B$2:$I$346,4,FALSE)," ")</f>
        <v xml:space="preserve"> </v>
      </c>
      <c r="K52" s="79" t="str">
        <f>IFERROR(VLOOKUP(I52,'[1]ABC Master Lists'!$B$2:$I$346,8,FALSE)," ")</f>
        <v xml:space="preserve"> </v>
      </c>
      <c r="L52" s="121" t="str">
        <f>IFERROR(VLOOKUP(J52,'[1]ABC Master Lists'!$AQ$2:$AS$12,3,FALSE)," ")</f>
        <v xml:space="preserve"> </v>
      </c>
      <c r="M52" s="121" t="str">
        <f>IFERROR(VLOOKUP(K52,'[1]ABC Master Lists'!$AD$2:$AE$22,2,FALSE), " ")</f>
        <v xml:space="preserve"> </v>
      </c>
    </row>
    <row r="53" spans="4:13" x14ac:dyDescent="0.25">
      <c r="D53" s="27">
        <v>26</v>
      </c>
      <c r="E53" s="84" t="s">
        <v>15</v>
      </c>
      <c r="F53" s="17">
        <v>4</v>
      </c>
      <c r="G53" s="85" t="s">
        <v>7</v>
      </c>
      <c r="H53" s="86" t="s">
        <v>5</v>
      </c>
      <c r="I53" s="37">
        <v>72</v>
      </c>
      <c r="J53" s="81">
        <f>IFERROR(VLOOKUP(I53,'[1]ABC Master Lists'!$B$2:$I$346,4,FALSE)," ")</f>
        <v>26</v>
      </c>
      <c r="K53" s="27">
        <f>IFERROR(VLOOKUP(I53,'[1]ABC Master Lists'!$B$2:$I$346,8,FALSE)," ")</f>
        <v>6</v>
      </c>
      <c r="L53" s="118" t="str">
        <f>IFERROR(VLOOKUP(J53,'[1]ABC Master Lists'!$AQ$2:$AS$12,3,FALSE)," ")</f>
        <v>+</v>
      </c>
      <c r="M53" s="118" t="str">
        <f>IFERROR(VLOOKUP(K53,'[1]ABC Master Lists'!$AD$2:$AE$22,2,FALSE), " ")</f>
        <v>+</v>
      </c>
    </row>
    <row r="54" spans="4:13" x14ac:dyDescent="0.25">
      <c r="D54" s="26">
        <v>29</v>
      </c>
      <c r="E54" s="40" t="s">
        <v>12</v>
      </c>
      <c r="F54" s="4">
        <v>15</v>
      </c>
      <c r="G54" s="42" t="s">
        <v>7</v>
      </c>
      <c r="H54" s="41" t="s">
        <v>5</v>
      </c>
      <c r="I54" s="36">
        <v>207</v>
      </c>
      <c r="J54" s="79">
        <f>IFERROR(VLOOKUP(I54,'[1]ABC Master Lists'!$B$2:$I$346,4,FALSE)," ")</f>
        <v>28</v>
      </c>
      <c r="K54" s="79">
        <f>IFERROR(VLOOKUP(I54,'[1]ABC Master Lists'!$B$2:$I$346,8,FALSE)," ")</f>
        <v>6</v>
      </c>
      <c r="L54" s="120" t="str">
        <f>IFERROR(VLOOKUP(J54,'[1]ABC Master Lists'!$AQ$2:$AS$12,3,FALSE)," ")</f>
        <v>+</v>
      </c>
      <c r="M54" s="120" t="str">
        <f>IFERROR(VLOOKUP(K54,'[1]ABC Master Lists'!$AD$2:$AE$22,2,FALSE), " ")</f>
        <v>+</v>
      </c>
    </row>
    <row r="55" spans="4:13" x14ac:dyDescent="0.25">
      <c r="D55" s="27">
        <v>30</v>
      </c>
      <c r="E55" s="84" t="s">
        <v>12</v>
      </c>
      <c r="F55" s="17">
        <v>15</v>
      </c>
      <c r="G55" s="85" t="s">
        <v>7</v>
      </c>
      <c r="H55" s="86" t="s">
        <v>20</v>
      </c>
      <c r="I55" s="37">
        <v>208</v>
      </c>
      <c r="J55" s="81">
        <f>IFERROR(VLOOKUP(I55,'[1]ABC Master Lists'!$B$2:$I$346,4,FALSE)," ")</f>
        <v>28</v>
      </c>
      <c r="K55" s="27">
        <f>IFERROR(VLOOKUP(I55,'[1]ABC Master Lists'!$B$2:$I$346,8,FALSE)," ")</f>
        <v>8</v>
      </c>
      <c r="L55" s="118" t="str">
        <f>IFERROR(VLOOKUP(J55,'[1]ABC Master Lists'!$AQ$2:$AS$12,3,FALSE)," ")</f>
        <v>+</v>
      </c>
      <c r="M55" s="118" t="str">
        <f>IFERROR(VLOOKUP(K55,'[1]ABC Master Lists'!$AD$2:$AE$22,2,FALSE), " ")</f>
        <v>+</v>
      </c>
    </row>
    <row r="56" spans="4:13" x14ac:dyDescent="0.25">
      <c r="D56" s="26">
        <v>31</v>
      </c>
      <c r="E56" s="40" t="s">
        <v>12</v>
      </c>
      <c r="F56" s="4">
        <v>15</v>
      </c>
      <c r="G56" s="42" t="s">
        <v>7</v>
      </c>
      <c r="H56" s="41" t="s">
        <v>5</v>
      </c>
      <c r="I56" s="36">
        <v>209</v>
      </c>
      <c r="J56" s="79">
        <f>IFERROR(VLOOKUP(I56,'[1]ABC Master Lists'!$B$2:$I$346,4,FALSE)," ")</f>
        <v>28</v>
      </c>
      <c r="K56" s="79">
        <f>IFERROR(VLOOKUP(I56,'[1]ABC Master Lists'!$B$2:$I$346,8,FALSE)," ")</f>
        <v>68</v>
      </c>
      <c r="L56" s="122" t="str">
        <f>IFERROR(VLOOKUP(J56,'[1]ABC Master Lists'!$AQ$2:$AS$12,3,FALSE)," ")</f>
        <v>+</v>
      </c>
      <c r="M56" s="122" t="str">
        <f>IFERROR(VLOOKUP(K56,'[1]ABC Master Lists'!$AD$2:$AE$22,2,FALSE), " ")</f>
        <v>+</v>
      </c>
    </row>
    <row r="57" spans="4:13" x14ac:dyDescent="0.25">
      <c r="E57" s="40" t="s">
        <v>12</v>
      </c>
      <c r="F57" s="4">
        <v>15</v>
      </c>
      <c r="G57" s="42" t="s">
        <v>7</v>
      </c>
      <c r="H57" s="41" t="s">
        <v>20</v>
      </c>
      <c r="J57" s="79" t="str">
        <f>IFERROR(VLOOKUP(I57,'[1]ABC Master Lists'!$B$2:$I$346,4,FALSE)," ")</f>
        <v xml:space="preserve"> </v>
      </c>
      <c r="K57" s="79" t="str">
        <f>IFERROR(VLOOKUP(I57,'[1]ABC Master Lists'!$B$2:$I$346,8,FALSE)," ")</f>
        <v xml:space="preserve"> </v>
      </c>
      <c r="L57" s="121" t="str">
        <f>IFERROR(VLOOKUP(J57,'[1]ABC Master Lists'!$AQ$2:$AS$12,3,FALSE)," ")</f>
        <v xml:space="preserve"> </v>
      </c>
      <c r="M57" s="121" t="str">
        <f>IFERROR(VLOOKUP(K57,'[1]ABC Master Lists'!$AD$2:$AE$22,2,FALSE), " ")</f>
        <v xml:space="preserve"> </v>
      </c>
    </row>
    <row r="58" spans="4:13" x14ac:dyDescent="0.25">
      <c r="D58" s="27">
        <v>36</v>
      </c>
      <c r="E58" s="30" t="s">
        <v>26</v>
      </c>
      <c r="F58" s="17">
        <v>0.5</v>
      </c>
      <c r="G58" s="33" t="s">
        <v>4</v>
      </c>
      <c r="H58" s="37" t="s">
        <v>5</v>
      </c>
      <c r="I58" s="37">
        <v>137</v>
      </c>
      <c r="J58" s="81">
        <f>IFERROR(VLOOKUP(I58,'[1]ABC Master Lists'!$B$2:$I$346,4,FALSE)," ")</f>
        <v>11</v>
      </c>
      <c r="K58" s="27">
        <f>IFERROR(VLOOKUP(I58,'[1]ABC Master Lists'!$B$2:$I$346,8,FALSE)," ")</f>
        <v>6</v>
      </c>
      <c r="L58" s="118" t="str">
        <f>IFERROR(VLOOKUP(J58,'[1]ABC Master Lists'!$AQ$2:$AS$12,3,FALSE)," ")</f>
        <v>+</v>
      </c>
      <c r="M58" s="118" t="str">
        <f>IFERROR(VLOOKUP(K58,'[1]ABC Master Lists'!$AD$2:$AE$22,2,FALSE), " ")</f>
        <v>+</v>
      </c>
    </row>
    <row r="59" spans="4:13" x14ac:dyDescent="0.25">
      <c r="D59" s="26">
        <v>37</v>
      </c>
      <c r="E59" s="24" t="s">
        <v>26</v>
      </c>
      <c r="F59" s="4">
        <v>0.75</v>
      </c>
      <c r="G59" s="32" t="s">
        <v>4</v>
      </c>
      <c r="H59" s="36" t="s">
        <v>5</v>
      </c>
      <c r="I59" s="36">
        <v>138</v>
      </c>
      <c r="J59" s="79">
        <f>IFERROR(VLOOKUP(I59,'[1]ABC Master Lists'!$B$2:$I$346,4,FALSE)," ")</f>
        <v>11</v>
      </c>
      <c r="K59" s="79">
        <f>IFERROR(VLOOKUP(I59,'[1]ABC Master Lists'!$B$2:$I$346,8,FALSE)," ")</f>
        <v>6</v>
      </c>
      <c r="L59" s="120" t="str">
        <f>IFERROR(VLOOKUP(J59,'[1]ABC Master Lists'!$AQ$2:$AS$12,3,FALSE)," ")</f>
        <v>+</v>
      </c>
      <c r="M59" s="120" t="str">
        <f>IFERROR(VLOOKUP(K59,'[1]ABC Master Lists'!$AD$2:$AE$22,2,FALSE), " ")</f>
        <v>+</v>
      </c>
    </row>
    <row r="60" spans="4:13" x14ac:dyDescent="0.25">
      <c r="D60" s="27">
        <v>38</v>
      </c>
      <c r="E60" s="30" t="s">
        <v>26</v>
      </c>
      <c r="F60" s="93">
        <v>1</v>
      </c>
      <c r="G60" s="33" t="s">
        <v>4</v>
      </c>
      <c r="H60" s="37" t="s">
        <v>5</v>
      </c>
      <c r="I60" s="37">
        <v>140</v>
      </c>
      <c r="J60" s="81">
        <f>IFERROR(VLOOKUP(I60,'[1]ABC Master Lists'!$B$2:$I$346,4,FALSE)," ")</f>
        <v>11</v>
      </c>
      <c r="K60" s="27">
        <f>IFERROR(VLOOKUP(I60,'[1]ABC Master Lists'!$B$2:$I$346,8,FALSE)," ")</f>
        <v>6</v>
      </c>
      <c r="L60" s="118" t="str">
        <f>IFERROR(VLOOKUP(J60,'[1]ABC Master Lists'!$AQ$2:$AS$12,3,FALSE)," ")</f>
        <v>+</v>
      </c>
      <c r="M60" s="118" t="str">
        <f>IFERROR(VLOOKUP(K60,'[1]ABC Master Lists'!$AD$2:$AE$22,2,FALSE), " ")</f>
        <v>+</v>
      </c>
    </row>
    <row r="61" spans="4:13" x14ac:dyDescent="0.25">
      <c r="D61" s="26">
        <v>39</v>
      </c>
      <c r="E61" s="24" t="s">
        <v>27</v>
      </c>
      <c r="F61" s="4">
        <v>22</v>
      </c>
      <c r="G61" s="42" t="s">
        <v>7</v>
      </c>
      <c r="H61" s="36" t="s">
        <v>20</v>
      </c>
      <c r="I61" s="36">
        <v>189</v>
      </c>
      <c r="J61" s="79">
        <f>IFERROR(VLOOKUP(I61,'[1]ABC Master Lists'!$B$2:$I$346,4,FALSE)," ")</f>
        <v>30</v>
      </c>
      <c r="K61" s="79">
        <f>IFERROR(VLOOKUP(I61,'[1]ABC Master Lists'!$B$2:$I$346,8,FALSE)," ")</f>
        <v>8</v>
      </c>
      <c r="L61" s="120" t="str">
        <f>IFERROR(VLOOKUP(J61,'[1]ABC Master Lists'!$AQ$2:$AS$12,3,FALSE)," ")</f>
        <v xml:space="preserve"> </v>
      </c>
      <c r="M61" s="120" t="str">
        <f>IFERROR(VLOOKUP(K61,'[1]ABC Master Lists'!$AD$2:$AE$22,2,FALSE), " ")</f>
        <v>+</v>
      </c>
    </row>
    <row r="62" spans="4:13" x14ac:dyDescent="0.25">
      <c r="D62" s="28">
        <v>40</v>
      </c>
      <c r="E62" s="31" t="s">
        <v>28</v>
      </c>
      <c r="F62" s="20">
        <v>4.6500000000000004</v>
      </c>
      <c r="G62" s="48" t="s">
        <v>7</v>
      </c>
      <c r="H62" s="38" t="s">
        <v>5</v>
      </c>
      <c r="I62" s="38">
        <v>201</v>
      </c>
      <c r="J62" s="83">
        <f>IFERROR(VLOOKUP(I62,'[1]ABC Master Lists'!$B$2:$I$346,4,FALSE)," ")</f>
        <v>2229</v>
      </c>
      <c r="K62" s="28">
        <f>IFERROR(VLOOKUP(I62,'[1]ABC Master Lists'!$B$2:$I$346,8,FALSE)," ")</f>
        <v>68</v>
      </c>
      <c r="L62" s="118" t="str">
        <f>IFERROR(VLOOKUP(J62,'[1]ABC Master Lists'!$AQ$2:$AS$12,3,FALSE)," ")</f>
        <v>+</v>
      </c>
      <c r="M62" s="118" t="str">
        <f>IFERROR(VLOOKUP(K62,'[1]ABC Master Lists'!$AD$2:$AE$22,2,FALSE), " ")</f>
        <v>+</v>
      </c>
    </row>
    <row r="63" spans="4:13" x14ac:dyDescent="0.25">
      <c r="E63" s="40" t="s">
        <v>8</v>
      </c>
      <c r="F63" s="4">
        <v>0.125</v>
      </c>
      <c r="G63" s="42" t="s">
        <v>9</v>
      </c>
      <c r="H63" s="36" t="s">
        <v>5</v>
      </c>
      <c r="J63" s="79" t="str">
        <f>IFERROR(VLOOKUP(I63,'[1]ABC Master Lists'!$B$2:$I$346,4,FALSE)," ")</f>
        <v xml:space="preserve"> </v>
      </c>
      <c r="K63" s="26" t="str">
        <f>IFERROR(VLOOKUP(I63,'[1]ABC Master Lists'!$B$2:$I$346,8,FALSE)," ")</f>
        <v xml:space="preserve"> </v>
      </c>
      <c r="L63" s="118" t="str">
        <f>IFERROR(VLOOKUP(J63,'[1]ABC Master Lists'!$AQ$2:$AS$12,3,FALSE)," ")</f>
        <v xml:space="preserve"> </v>
      </c>
      <c r="M63" s="118" t="str">
        <f>IFERROR(VLOOKUP(K63,'[1]ABC Master Lists'!$AD$2:$AE$22,2,FALSE), " ")</f>
        <v xml:space="preserve"> </v>
      </c>
    </row>
    <row r="64" spans="4:13" x14ac:dyDescent="0.25">
      <c r="E64" s="24" t="s">
        <v>28</v>
      </c>
      <c r="F64" s="4">
        <v>4.6500000000000004</v>
      </c>
      <c r="G64" s="42" t="s">
        <v>7</v>
      </c>
      <c r="H64" s="36" t="s">
        <v>20</v>
      </c>
      <c r="J64" s="79" t="str">
        <f>IFERROR(VLOOKUP(I64,'[1]ABC Master Lists'!$B$2:$I$346,4,FALSE)," ")</f>
        <v xml:space="preserve"> </v>
      </c>
      <c r="K64" s="26" t="str">
        <f>IFERROR(VLOOKUP(I64,'[1]ABC Master Lists'!$B$2:$I$346,8,FALSE)," ")</f>
        <v xml:space="preserve"> </v>
      </c>
      <c r="L64" s="118" t="str">
        <f>IFERROR(VLOOKUP(J64,'[1]ABC Master Lists'!$AQ$2:$AS$12,3,FALSE)," ")</f>
        <v xml:space="preserve"> </v>
      </c>
      <c r="M64" s="118" t="str">
        <f>IFERROR(VLOOKUP(K64,'[1]ABC Master Lists'!$AD$2:$AE$22,2,FALSE), " ")</f>
        <v xml:space="preserve"> </v>
      </c>
    </row>
    <row r="65" spans="4:13" x14ac:dyDescent="0.25">
      <c r="D65" s="29"/>
      <c r="E65" s="45" t="s">
        <v>8</v>
      </c>
      <c r="F65" s="23">
        <v>0.125</v>
      </c>
      <c r="G65" s="46" t="s">
        <v>9</v>
      </c>
      <c r="H65" s="39" t="s">
        <v>20</v>
      </c>
      <c r="I65" s="39"/>
      <c r="J65" s="82" t="str">
        <f>IFERROR(VLOOKUP(I65,'[1]ABC Master Lists'!$B$2:$I$346,4,FALSE)," ")</f>
        <v xml:space="preserve"> </v>
      </c>
      <c r="K65" s="29" t="str">
        <f>IFERROR(VLOOKUP(I65,'[1]ABC Master Lists'!$B$2:$I$346,8,FALSE)," ")</f>
        <v xml:space="preserve"> </v>
      </c>
      <c r="L65" s="118" t="str">
        <f>IFERROR(VLOOKUP(J65,'[1]ABC Master Lists'!$AQ$2:$AS$12,3,FALSE)," ")</f>
        <v xml:space="preserve"> </v>
      </c>
      <c r="M65" s="118" t="str">
        <f>IFERROR(VLOOKUP(K65,'[1]ABC Master Lists'!$AD$2:$AE$22,2,FALSE), " ")</f>
        <v xml:space="preserve"> </v>
      </c>
    </row>
    <row r="66" spans="4:13" x14ac:dyDescent="0.25">
      <c r="D66" s="26">
        <v>41</v>
      </c>
      <c r="E66" s="24" t="s">
        <v>13</v>
      </c>
      <c r="F66" s="5">
        <v>3</v>
      </c>
      <c r="G66" s="32" t="s">
        <v>7</v>
      </c>
      <c r="H66" s="36" t="s">
        <v>5</v>
      </c>
      <c r="I66" s="36">
        <v>163</v>
      </c>
      <c r="J66" s="79">
        <f>IFERROR(VLOOKUP(I66,'[1]ABC Master Lists'!$B$2:$I$346,4,FALSE)," ")</f>
        <v>22</v>
      </c>
      <c r="K66" s="79">
        <f>IFERROR(VLOOKUP(I66,'[1]ABC Master Lists'!$B$2:$I$346,8,FALSE)," ")</f>
        <v>68</v>
      </c>
      <c r="L66" s="122" t="str">
        <f>IFERROR(VLOOKUP(J66,'[1]ABC Master Lists'!$AQ$2:$AS$12,3,FALSE)," ")</f>
        <v>+</v>
      </c>
      <c r="M66" s="122" t="str">
        <f>IFERROR(VLOOKUP(K66,'[1]ABC Master Lists'!$AD$2:$AE$22,2,FALSE), " ")</f>
        <v>+</v>
      </c>
    </row>
    <row r="67" spans="4:13" x14ac:dyDescent="0.25">
      <c r="E67" s="24" t="s">
        <v>13</v>
      </c>
      <c r="F67" s="5">
        <v>3</v>
      </c>
      <c r="G67" s="32" t="s">
        <v>7</v>
      </c>
      <c r="H67" s="36" t="s">
        <v>20</v>
      </c>
      <c r="J67" s="79" t="str">
        <f>IFERROR(VLOOKUP(I67,'[1]ABC Master Lists'!$B$2:$I$346,4,FALSE)," ")</f>
        <v xml:space="preserve"> </v>
      </c>
      <c r="K67" s="79" t="str">
        <f>IFERROR(VLOOKUP(I67,'[1]ABC Master Lists'!$B$2:$I$346,8,FALSE)," ")</f>
        <v xml:space="preserve"> </v>
      </c>
      <c r="L67" s="121" t="str">
        <f>IFERROR(VLOOKUP(J67,'[1]ABC Master Lists'!$AQ$2:$AS$12,3,FALSE)," ")</f>
        <v xml:space="preserve"> </v>
      </c>
      <c r="M67" s="121" t="str">
        <f>IFERROR(VLOOKUP(K67,'[1]ABC Master Lists'!$AD$2:$AE$22,2,FALSE), " ")</f>
        <v xml:space="preserve"> </v>
      </c>
    </row>
    <row r="68" spans="4:13" x14ac:dyDescent="0.25">
      <c r="D68" s="28">
        <v>42</v>
      </c>
      <c r="E68" s="31" t="s">
        <v>13</v>
      </c>
      <c r="F68" s="94">
        <v>3</v>
      </c>
      <c r="G68" s="34" t="s">
        <v>7</v>
      </c>
      <c r="H68" s="38" t="s">
        <v>5</v>
      </c>
      <c r="I68" s="38">
        <v>168</v>
      </c>
      <c r="J68" s="83">
        <f>IFERROR(VLOOKUP(I68,'[1]ABC Master Lists'!$B$2:$I$346,4,FALSE)," ")</f>
        <v>2229</v>
      </c>
      <c r="K68" s="28">
        <f>IFERROR(VLOOKUP(I68,'[1]ABC Master Lists'!$B$2:$I$346,8,FALSE)," ")</f>
        <v>68</v>
      </c>
      <c r="L68" s="118" t="str">
        <f>IFERROR(VLOOKUP(J68,'[1]ABC Master Lists'!$AQ$2:$AS$12,3,FALSE)," ")</f>
        <v>+</v>
      </c>
      <c r="M68" s="118" t="str">
        <f>IFERROR(VLOOKUP(K68,'[1]ABC Master Lists'!$AD$2:$AE$22,2,FALSE), " ")</f>
        <v>+</v>
      </c>
    </row>
    <row r="69" spans="4:13" x14ac:dyDescent="0.25">
      <c r="E69" s="24" t="s">
        <v>28</v>
      </c>
      <c r="F69" s="4">
        <v>4.6500000000000004</v>
      </c>
      <c r="G69" s="42" t="s">
        <v>7</v>
      </c>
      <c r="H69" s="36" t="s">
        <v>20</v>
      </c>
      <c r="J69" s="79" t="str">
        <f>IFERROR(VLOOKUP(I69,'[1]ABC Master Lists'!$B$2:$I$346,4,FALSE)," ")</f>
        <v xml:space="preserve"> </v>
      </c>
      <c r="K69" s="26" t="str">
        <f>IFERROR(VLOOKUP(I69,'[1]ABC Master Lists'!$B$2:$I$346,8,FALSE)," ")</f>
        <v xml:space="preserve"> </v>
      </c>
      <c r="L69" s="118" t="str">
        <f>IFERROR(VLOOKUP(J69,'[1]ABC Master Lists'!$AQ$2:$AS$12,3,FALSE)," ")</f>
        <v xml:space="preserve"> </v>
      </c>
      <c r="M69" s="118" t="str">
        <f>IFERROR(VLOOKUP(K69,'[1]ABC Master Lists'!$AD$2:$AE$22,2,FALSE), " ")</f>
        <v xml:space="preserve"> </v>
      </c>
    </row>
    <row r="70" spans="4:13" x14ac:dyDescent="0.25">
      <c r="D70" s="29"/>
      <c r="E70" s="45" t="s">
        <v>8</v>
      </c>
      <c r="F70" s="23">
        <v>0.125</v>
      </c>
      <c r="G70" s="46" t="s">
        <v>9</v>
      </c>
      <c r="H70" s="39" t="s">
        <v>20</v>
      </c>
      <c r="I70" s="39"/>
      <c r="J70" s="82" t="str">
        <f>IFERROR(VLOOKUP(I70,'[1]ABC Master Lists'!$B$2:$I$346,4,FALSE)," ")</f>
        <v xml:space="preserve"> </v>
      </c>
      <c r="K70" s="29" t="str">
        <f>IFERROR(VLOOKUP(I70,'[1]ABC Master Lists'!$B$2:$I$346,8,FALSE)," ")</f>
        <v xml:space="preserve"> </v>
      </c>
      <c r="L70" s="118" t="str">
        <f>IFERROR(VLOOKUP(J70,'[1]ABC Master Lists'!$AQ$2:$AS$12,3,FALSE)," ")</f>
        <v xml:space="preserve"> </v>
      </c>
      <c r="M70" s="118" t="str">
        <f>IFERROR(VLOOKUP(K70,'[1]ABC Master Lists'!$AD$2:$AE$22,2,FALSE), " ")</f>
        <v xml:space="preserve"> </v>
      </c>
    </row>
    <row r="71" spans="4:13" x14ac:dyDescent="0.25">
      <c r="D71" s="26">
        <v>46</v>
      </c>
      <c r="E71" s="24" t="s">
        <v>10</v>
      </c>
      <c r="F71" s="5">
        <v>11</v>
      </c>
      <c r="G71" s="32" t="s">
        <v>29</v>
      </c>
      <c r="H71" s="36" t="s">
        <v>5</v>
      </c>
      <c r="I71" s="36">
        <v>100</v>
      </c>
      <c r="J71" s="79">
        <f>IFERROR(VLOOKUP(I71,'[1]ABC Master Lists'!$B$2:$I$346,4,FALSE)," ")</f>
        <v>4</v>
      </c>
      <c r="K71" s="79">
        <f>IFERROR(VLOOKUP(I71,'[1]ABC Master Lists'!$B$2:$I$346,8,FALSE)," ")</f>
        <v>68</v>
      </c>
      <c r="L71" s="122" t="str">
        <f>IFERROR(VLOOKUP(J71,'[1]ABC Master Lists'!$AQ$2:$AS$12,3,FALSE)," ")</f>
        <v>+</v>
      </c>
      <c r="M71" s="122" t="str">
        <f>IFERROR(VLOOKUP(K71,'[1]ABC Master Lists'!$AD$2:$AE$22,2,FALSE), " ")</f>
        <v>+</v>
      </c>
    </row>
    <row r="72" spans="4:13" x14ac:dyDescent="0.25">
      <c r="E72" s="40" t="s">
        <v>8</v>
      </c>
      <c r="F72" s="4">
        <v>0.125</v>
      </c>
      <c r="G72" s="42" t="s">
        <v>9</v>
      </c>
      <c r="H72" s="36" t="s">
        <v>5</v>
      </c>
      <c r="J72" s="79" t="str">
        <f>IFERROR(VLOOKUP(I72,'[1]ABC Master Lists'!$B$2:$I$346,4,FALSE)," ")</f>
        <v xml:space="preserve"> </v>
      </c>
      <c r="K72" s="79" t="str">
        <f>IFERROR(VLOOKUP(I72,'[1]ABC Master Lists'!$B$2:$I$346,8,FALSE)," ")</f>
        <v xml:space="preserve"> </v>
      </c>
      <c r="L72" s="118" t="str">
        <f>IFERROR(VLOOKUP(J72,'[1]ABC Master Lists'!$AQ$2:$AS$12,3,FALSE)," ")</f>
        <v xml:space="preserve"> </v>
      </c>
      <c r="M72" s="118" t="str">
        <f>IFERROR(VLOOKUP(K72,'[1]ABC Master Lists'!$AD$2:$AE$22,2,FALSE), " ")</f>
        <v xml:space="preserve"> </v>
      </c>
    </row>
    <row r="73" spans="4:13" x14ac:dyDescent="0.25">
      <c r="E73" s="24" t="s">
        <v>10</v>
      </c>
      <c r="F73" s="5">
        <v>11</v>
      </c>
      <c r="G73" s="32" t="s">
        <v>29</v>
      </c>
      <c r="H73" s="36" t="s">
        <v>20</v>
      </c>
      <c r="J73" s="79" t="str">
        <f>IFERROR(VLOOKUP(I73,'[1]ABC Master Lists'!$B$2:$I$346,4,FALSE)," ")</f>
        <v xml:space="preserve"> </v>
      </c>
      <c r="K73" s="79" t="str">
        <f>IFERROR(VLOOKUP(I73,'[1]ABC Master Lists'!$B$2:$I$346,8,FALSE)," ")</f>
        <v xml:space="preserve"> </v>
      </c>
      <c r="L73" s="118" t="str">
        <f>IFERROR(VLOOKUP(J73,'[1]ABC Master Lists'!$AQ$2:$AS$12,3,FALSE)," ")</f>
        <v xml:space="preserve"> </v>
      </c>
      <c r="M73" s="118" t="str">
        <f>IFERROR(VLOOKUP(K73,'[1]ABC Master Lists'!$AD$2:$AE$22,2,FALSE), " ")</f>
        <v xml:space="preserve"> </v>
      </c>
    </row>
    <row r="74" spans="4:13" x14ac:dyDescent="0.25">
      <c r="E74" s="40" t="s">
        <v>8</v>
      </c>
      <c r="F74" s="4">
        <v>0.125</v>
      </c>
      <c r="G74" s="42" t="s">
        <v>9</v>
      </c>
      <c r="H74" s="36" t="s">
        <v>20</v>
      </c>
      <c r="J74" s="79" t="str">
        <f>IFERROR(VLOOKUP(I74,'[1]ABC Master Lists'!$B$2:$I$346,4,FALSE)," ")</f>
        <v xml:space="preserve"> </v>
      </c>
      <c r="K74" s="79" t="str">
        <f>IFERROR(VLOOKUP(I74,'[1]ABC Master Lists'!$B$2:$I$346,8,FALSE)," ")</f>
        <v xml:space="preserve"> </v>
      </c>
      <c r="L74" s="121" t="str">
        <f>IFERROR(VLOOKUP(J74,'[1]ABC Master Lists'!$AQ$2:$AS$12,3,FALSE)," ")</f>
        <v xml:space="preserve"> </v>
      </c>
      <c r="M74" s="121" t="str">
        <f>IFERROR(VLOOKUP(K74,'[1]ABC Master Lists'!$AD$2:$AE$22,2,FALSE), " ")</f>
        <v xml:space="preserve"> </v>
      </c>
    </row>
    <row r="75" spans="4:13" x14ac:dyDescent="0.25">
      <c r="D75" s="28">
        <v>47</v>
      </c>
      <c r="E75" s="31" t="s">
        <v>30</v>
      </c>
      <c r="F75" s="94">
        <v>5</v>
      </c>
      <c r="G75" s="34" t="s">
        <v>7</v>
      </c>
      <c r="H75" s="38" t="s">
        <v>5</v>
      </c>
      <c r="I75" s="38">
        <v>79</v>
      </c>
      <c r="J75" s="83">
        <f>IFERROR(VLOOKUP(I75,'[1]ABC Master Lists'!$B$2:$I$346,4,FALSE)," ")</f>
        <v>26</v>
      </c>
      <c r="K75" s="28">
        <f>IFERROR(VLOOKUP(I75,'[1]ABC Master Lists'!$B$2:$I$346,8,FALSE)," ")</f>
        <v>68</v>
      </c>
      <c r="L75" s="118" t="str">
        <f>IFERROR(VLOOKUP(J75,'[1]ABC Master Lists'!$AQ$2:$AS$12,3,FALSE)," ")</f>
        <v>+</v>
      </c>
      <c r="M75" s="118" t="str">
        <f>IFERROR(VLOOKUP(K75,'[1]ABC Master Lists'!$AD$2:$AE$22,2,FALSE), " ")</f>
        <v>+</v>
      </c>
    </row>
    <row r="76" spans="4:13" x14ac:dyDescent="0.25">
      <c r="E76" s="40" t="s">
        <v>8</v>
      </c>
      <c r="F76" s="4">
        <v>0.125</v>
      </c>
      <c r="G76" s="42" t="s">
        <v>9</v>
      </c>
      <c r="H76" s="36" t="s">
        <v>5</v>
      </c>
      <c r="J76" s="79" t="str">
        <f>IFERROR(VLOOKUP(I76,'[1]ABC Master Lists'!$B$2:$I$346,4,FALSE)," ")</f>
        <v xml:space="preserve"> </v>
      </c>
      <c r="K76" s="26" t="str">
        <f>IFERROR(VLOOKUP(I76,'[1]ABC Master Lists'!$B$2:$I$346,8,FALSE)," ")</f>
        <v xml:space="preserve"> </v>
      </c>
      <c r="L76" s="118" t="str">
        <f>IFERROR(VLOOKUP(J76,'[1]ABC Master Lists'!$AQ$2:$AS$12,3,FALSE)," ")</f>
        <v xml:space="preserve"> </v>
      </c>
      <c r="M76" s="118" t="str">
        <f>IFERROR(VLOOKUP(K76,'[1]ABC Master Lists'!$AD$2:$AE$22,2,FALSE), " ")</f>
        <v xml:space="preserve"> </v>
      </c>
    </row>
    <row r="77" spans="4:13" x14ac:dyDescent="0.25">
      <c r="E77" s="24" t="s">
        <v>30</v>
      </c>
      <c r="F77" s="5">
        <v>5</v>
      </c>
      <c r="G77" s="32" t="s">
        <v>7</v>
      </c>
      <c r="H77" s="36" t="s">
        <v>20</v>
      </c>
      <c r="J77" s="79" t="str">
        <f>IFERROR(VLOOKUP(I77,'[1]ABC Master Lists'!$B$2:$I$346,4,FALSE)," ")</f>
        <v xml:space="preserve"> </v>
      </c>
      <c r="K77" s="26" t="str">
        <f>IFERROR(VLOOKUP(I77,'[1]ABC Master Lists'!$B$2:$I$346,8,FALSE)," ")</f>
        <v xml:space="preserve"> </v>
      </c>
      <c r="L77" s="118" t="str">
        <f>IFERROR(VLOOKUP(J77,'[1]ABC Master Lists'!$AQ$2:$AS$12,3,FALSE)," ")</f>
        <v xml:space="preserve"> </v>
      </c>
      <c r="M77" s="118" t="str">
        <f>IFERROR(VLOOKUP(K77,'[1]ABC Master Lists'!$AD$2:$AE$22,2,FALSE), " ")</f>
        <v xml:space="preserve"> </v>
      </c>
    </row>
    <row r="78" spans="4:13" x14ac:dyDescent="0.25">
      <c r="D78" s="29"/>
      <c r="E78" s="45" t="s">
        <v>8</v>
      </c>
      <c r="F78" s="23">
        <v>0.125</v>
      </c>
      <c r="G78" s="46" t="s">
        <v>9</v>
      </c>
      <c r="H78" s="39" t="s">
        <v>20</v>
      </c>
      <c r="I78" s="39"/>
      <c r="J78" s="82" t="str">
        <f>IFERROR(VLOOKUP(I78,'[1]ABC Master Lists'!$B$2:$I$346,4,FALSE)," ")</f>
        <v xml:space="preserve"> </v>
      </c>
      <c r="K78" s="29" t="str">
        <f>IFERROR(VLOOKUP(I78,'[1]ABC Master Lists'!$B$2:$I$346,8,FALSE)," ")</f>
        <v xml:space="preserve"> </v>
      </c>
      <c r="L78" s="118" t="str">
        <f>IFERROR(VLOOKUP(J78,'[1]ABC Master Lists'!$AQ$2:$AS$12,3,FALSE)," ")</f>
        <v xml:space="preserve"> </v>
      </c>
      <c r="M78" s="118" t="str">
        <f>IFERROR(VLOOKUP(K78,'[1]ABC Master Lists'!$AD$2:$AE$22,2,FALSE), " ")</f>
        <v xml:space="preserve"> </v>
      </c>
    </row>
    <row r="79" spans="4:13" x14ac:dyDescent="0.25">
      <c r="D79" s="26">
        <v>48</v>
      </c>
      <c r="E79" s="24" t="s">
        <v>18</v>
      </c>
      <c r="F79" s="4">
        <v>10.5</v>
      </c>
      <c r="G79" s="32" t="s">
        <v>7</v>
      </c>
      <c r="H79" s="36" t="s">
        <v>20</v>
      </c>
      <c r="I79" s="36">
        <v>57</v>
      </c>
      <c r="J79" s="79">
        <f>IFERROR(VLOOKUP(I79,'[1]ABC Master Lists'!$B$2:$I$346,4,FALSE)," ")</f>
        <v>18</v>
      </c>
      <c r="K79" s="79">
        <f>IFERROR(VLOOKUP(I79,'[1]ABC Master Lists'!$B$2:$I$346,8,FALSE)," ")</f>
        <v>8</v>
      </c>
      <c r="L79" s="120" t="str">
        <f>IFERROR(VLOOKUP(J79,'[1]ABC Master Lists'!$AQ$2:$AS$12,3,FALSE)," ")</f>
        <v>+</v>
      </c>
      <c r="M79" s="120" t="str">
        <f>IFERROR(VLOOKUP(K79,'[1]ABC Master Lists'!$AD$2:$AE$22,2,FALSE), " ")</f>
        <v>+</v>
      </c>
    </row>
    <row r="80" spans="4:13" x14ac:dyDescent="0.25">
      <c r="D80" s="27">
        <v>49</v>
      </c>
      <c r="E80" s="30" t="s">
        <v>12</v>
      </c>
      <c r="F80" s="17">
        <v>20</v>
      </c>
      <c r="G80" s="33" t="s">
        <v>7</v>
      </c>
      <c r="H80" s="37" t="s">
        <v>5</v>
      </c>
      <c r="I80" s="37">
        <v>210</v>
      </c>
      <c r="J80" s="81">
        <f>IFERROR(VLOOKUP(I80,'[1]ABC Master Lists'!$B$2:$I$346,4,FALSE)," ")</f>
        <v>28</v>
      </c>
      <c r="K80" s="27">
        <f>IFERROR(VLOOKUP(I80,'[1]ABC Master Lists'!$B$2:$I$346,8,FALSE)," ")</f>
        <v>6</v>
      </c>
      <c r="L80" s="118" t="str">
        <f>IFERROR(VLOOKUP(J80,'[1]ABC Master Lists'!$AQ$2:$AS$12,3,FALSE)," ")</f>
        <v>+</v>
      </c>
      <c r="M80" s="118" t="str">
        <f>IFERROR(VLOOKUP(K80,'[1]ABC Master Lists'!$AD$2:$AE$22,2,FALSE), " ")</f>
        <v>+</v>
      </c>
    </row>
    <row r="81" spans="1:13" x14ac:dyDescent="0.25">
      <c r="D81" s="26">
        <v>50</v>
      </c>
      <c r="E81" s="24" t="s">
        <v>31</v>
      </c>
      <c r="F81" s="4">
        <v>6</v>
      </c>
      <c r="G81" s="32" t="s">
        <v>7</v>
      </c>
      <c r="H81" s="36" t="s">
        <v>5</v>
      </c>
      <c r="I81" s="36">
        <v>179</v>
      </c>
      <c r="J81" s="79">
        <f>IFERROR(VLOOKUP(I81,'[1]ABC Master Lists'!$B$2:$I$346,4,FALSE)," ")</f>
        <v>1</v>
      </c>
      <c r="K81" s="79">
        <f>IFERROR(VLOOKUP(I81,'[1]ABC Master Lists'!$B$2:$I$346,8,FALSE)," ")</f>
        <v>6</v>
      </c>
      <c r="L81" s="122" t="str">
        <f>IFERROR(VLOOKUP(J81,'[1]ABC Master Lists'!$AQ$2:$AS$12,3,FALSE)," ")</f>
        <v xml:space="preserve"> </v>
      </c>
      <c r="M81" s="122" t="str">
        <f>IFERROR(VLOOKUP(K81,'[1]ABC Master Lists'!$AD$2:$AE$22,2,FALSE), " ")</f>
        <v>+</v>
      </c>
    </row>
    <row r="82" spans="1:13" x14ac:dyDescent="0.25">
      <c r="E82" s="24" t="s">
        <v>19</v>
      </c>
      <c r="F82" s="6">
        <v>1</v>
      </c>
      <c r="G82" s="32" t="s">
        <v>9</v>
      </c>
      <c r="H82" s="36" t="s">
        <v>5</v>
      </c>
      <c r="J82" s="79" t="str">
        <f>IFERROR(VLOOKUP(I82,'[1]ABC Master Lists'!$B$2:$I$346,4,FALSE)," ")</f>
        <v xml:space="preserve"> </v>
      </c>
      <c r="K82" s="79" t="str">
        <f>IFERROR(VLOOKUP(I82,'[1]ABC Master Lists'!$B$2:$I$346,8,FALSE)," ")</f>
        <v xml:space="preserve"> </v>
      </c>
      <c r="L82" s="121" t="str">
        <f>IFERROR(VLOOKUP(J82,'[1]ABC Master Lists'!$AQ$2:$AS$12,3,FALSE)," ")</f>
        <v xml:space="preserve"> </v>
      </c>
      <c r="M82" s="121" t="str">
        <f>IFERROR(VLOOKUP(K82,'[1]ABC Master Lists'!$AD$2:$AE$22,2,FALSE), " ")</f>
        <v xml:space="preserve"> </v>
      </c>
    </row>
    <row r="83" spans="1:13" x14ac:dyDescent="0.25">
      <c r="D83" s="28">
        <v>52</v>
      </c>
      <c r="E83" s="31" t="s">
        <v>32</v>
      </c>
      <c r="F83" s="20">
        <v>4</v>
      </c>
      <c r="G83" s="34" t="s">
        <v>7</v>
      </c>
      <c r="H83" s="38" t="s">
        <v>5</v>
      </c>
      <c r="I83" s="38">
        <v>105</v>
      </c>
      <c r="J83" s="83">
        <f>IFERROR(VLOOKUP(I83,'[1]ABC Master Lists'!$B$2:$I$346,4,FALSE)," ")</f>
        <v>25</v>
      </c>
      <c r="K83" s="28">
        <f>IFERROR(VLOOKUP(I83,'[1]ABC Master Lists'!$B$2:$I$346,8,FALSE)," ")</f>
        <v>6</v>
      </c>
      <c r="L83" s="118" t="str">
        <f>IFERROR(VLOOKUP(J83,'[1]ABC Master Lists'!$AQ$2:$AS$12,3,FALSE)," ")</f>
        <v xml:space="preserve"> </v>
      </c>
      <c r="M83" s="118" t="str">
        <f>IFERROR(VLOOKUP(K83,'[1]ABC Master Lists'!$AD$2:$AE$22,2,FALSE), " ")</f>
        <v>+</v>
      </c>
    </row>
    <row r="84" spans="1:13" x14ac:dyDescent="0.25">
      <c r="D84" s="29"/>
      <c r="E84" s="25" t="s">
        <v>33</v>
      </c>
      <c r="F84" s="95">
        <v>0.125</v>
      </c>
      <c r="G84" s="35" t="s">
        <v>9</v>
      </c>
      <c r="H84" s="39" t="s">
        <v>5</v>
      </c>
      <c r="I84" s="39"/>
      <c r="J84" s="82" t="str">
        <f>IFERROR(VLOOKUP(I84,'[1]ABC Master Lists'!$B$2:$I$346,4,FALSE)," ")</f>
        <v xml:space="preserve"> </v>
      </c>
      <c r="K84" s="29" t="str">
        <f>IFERROR(VLOOKUP(I84,'[1]ABC Master Lists'!$B$2:$I$346,8,FALSE)," ")</f>
        <v xml:space="preserve"> </v>
      </c>
      <c r="L84" s="118" t="str">
        <f>IFERROR(VLOOKUP(J84,'[1]ABC Master Lists'!$AQ$2:$AS$12,3,FALSE)," ")</f>
        <v xml:space="preserve"> </v>
      </c>
      <c r="M84" s="118" t="str">
        <f>IFERROR(VLOOKUP(K84,'[1]ABC Master Lists'!$AD$2:$AE$22,2,FALSE), " ")</f>
        <v xml:space="preserve"> </v>
      </c>
    </row>
    <row r="85" spans="1:13" x14ac:dyDescent="0.25">
      <c r="D85" s="27">
        <v>53</v>
      </c>
      <c r="E85" s="30" t="s">
        <v>18</v>
      </c>
      <c r="F85" s="17">
        <v>12.5</v>
      </c>
      <c r="G85" s="33" t="s">
        <v>7</v>
      </c>
      <c r="H85" s="37" t="s">
        <v>5</v>
      </c>
      <c r="I85" s="37">
        <v>58</v>
      </c>
      <c r="J85" s="81">
        <f>IFERROR(VLOOKUP(I85,'[1]ABC Master Lists'!$B$2:$I$346,4,FALSE)," ")</f>
        <v>18</v>
      </c>
      <c r="K85" s="27">
        <f>IFERROR(VLOOKUP(I85,'[1]ABC Master Lists'!$B$2:$I$346,8,FALSE)," ")</f>
        <v>6</v>
      </c>
      <c r="L85" s="120" t="str">
        <f>IFERROR(VLOOKUP(J85,'[1]ABC Master Lists'!$AQ$2:$AS$12,3,FALSE)," ")</f>
        <v>+</v>
      </c>
      <c r="M85" s="120" t="str">
        <f>IFERROR(VLOOKUP(K85,'[1]ABC Master Lists'!$AD$2:$AE$22,2,FALSE), " ")</f>
        <v>+</v>
      </c>
    </row>
    <row r="86" spans="1:13" x14ac:dyDescent="0.25">
      <c r="A86" s="31">
        <v>2011</v>
      </c>
      <c r="B86" s="31" t="s">
        <v>161</v>
      </c>
      <c r="C86" s="31" t="s">
        <v>160</v>
      </c>
      <c r="D86" s="26">
        <v>2</v>
      </c>
      <c r="E86" s="40" t="s">
        <v>1</v>
      </c>
      <c r="F86" s="7" t="s">
        <v>2</v>
      </c>
      <c r="G86" s="49" t="s">
        <v>2</v>
      </c>
      <c r="H86" s="50" t="s">
        <v>2</v>
      </c>
      <c r="I86" s="36">
        <v>1</v>
      </c>
      <c r="J86" s="79" t="str">
        <f>IFERROR(VLOOKUP(I86,'[1]ABC Master Lists'!$B$2:$I$346,4,FALSE)," ")</f>
        <v>.</v>
      </c>
      <c r="K86" s="79" t="str">
        <f>IFERROR(VLOOKUP(I86,'[1]ABC Master Lists'!$B$2:$I$346,8,FALSE)," ")</f>
        <v>.</v>
      </c>
      <c r="L86" s="118" t="str">
        <f>IFERROR(VLOOKUP(J86,'[1]ABC Master Lists'!$AQ$2:$AS$12,3,FALSE)," ")</f>
        <v>+</v>
      </c>
      <c r="M86" s="118" t="str">
        <f>IFERROR(VLOOKUP(K86,'[1]ABC Master Lists'!$AD$2:$AE$22,2,FALSE), " ")</f>
        <v>+</v>
      </c>
    </row>
    <row r="87" spans="1:13" x14ac:dyDescent="0.25">
      <c r="D87" s="27">
        <v>3</v>
      </c>
      <c r="E87" s="84" t="s">
        <v>26</v>
      </c>
      <c r="F87" s="96">
        <v>0.75</v>
      </c>
      <c r="G87" s="85" t="s">
        <v>4</v>
      </c>
      <c r="H87" s="86" t="s">
        <v>5</v>
      </c>
      <c r="I87" s="37">
        <v>138</v>
      </c>
      <c r="J87" s="81">
        <f>IFERROR(VLOOKUP(I87,'[1]ABC Master Lists'!$B$2:$I$346,4,FALSE)," ")</f>
        <v>11</v>
      </c>
      <c r="K87" s="27">
        <f>IFERROR(VLOOKUP(I87,'[1]ABC Master Lists'!$B$2:$I$346,8,FALSE)," ")</f>
        <v>6</v>
      </c>
      <c r="L87" s="120" t="str">
        <f>IFERROR(VLOOKUP(J87,'[1]ABC Master Lists'!$AQ$2:$AS$12,3,FALSE)," ")</f>
        <v>+</v>
      </c>
      <c r="M87" s="120" t="str">
        <f>IFERROR(VLOOKUP(K87,'[1]ABC Master Lists'!$AD$2:$AE$22,2,FALSE), " ")</f>
        <v>+</v>
      </c>
    </row>
    <row r="88" spans="1:13" x14ac:dyDescent="0.25">
      <c r="D88" s="26">
        <v>4</v>
      </c>
      <c r="E88" s="40" t="s">
        <v>26</v>
      </c>
      <c r="F88" s="8">
        <v>1</v>
      </c>
      <c r="G88" s="32" t="s">
        <v>4</v>
      </c>
      <c r="H88" s="41" t="s">
        <v>5</v>
      </c>
      <c r="I88" s="36">
        <v>140</v>
      </c>
      <c r="J88" s="79">
        <f>IFERROR(VLOOKUP(I88,'[1]ABC Master Lists'!$B$2:$I$346,4,FALSE)," ")</f>
        <v>11</v>
      </c>
      <c r="K88" s="79">
        <f>IFERROR(VLOOKUP(I88,'[1]ABC Master Lists'!$B$2:$I$346,8,FALSE)," ")</f>
        <v>6</v>
      </c>
      <c r="L88" s="118" t="str">
        <f>IFERROR(VLOOKUP(J88,'[1]ABC Master Lists'!$AQ$2:$AS$12,3,FALSE)," ")</f>
        <v>+</v>
      </c>
      <c r="M88" s="118" t="str">
        <f>IFERROR(VLOOKUP(K88,'[1]ABC Master Lists'!$AD$2:$AE$22,2,FALSE), " ")</f>
        <v>+</v>
      </c>
    </row>
    <row r="89" spans="1:13" x14ac:dyDescent="0.25">
      <c r="D89" s="28">
        <v>8</v>
      </c>
      <c r="E89" s="43" t="s">
        <v>6</v>
      </c>
      <c r="F89" s="97">
        <v>9</v>
      </c>
      <c r="G89" s="48" t="s">
        <v>7</v>
      </c>
      <c r="H89" s="38" t="s">
        <v>5</v>
      </c>
      <c r="I89" s="38">
        <v>23</v>
      </c>
      <c r="J89" s="83">
        <f>IFERROR(VLOOKUP(I89,'[1]ABC Master Lists'!$B$2:$I$346,4,FALSE)," ")</f>
        <v>20</v>
      </c>
      <c r="K89" s="28">
        <f>IFERROR(VLOOKUP(I89,'[1]ABC Master Lists'!$B$2:$I$346,8,FALSE)," ")</f>
        <v>68</v>
      </c>
      <c r="L89" s="122" t="str">
        <f>IFERROR(VLOOKUP(J89,'[1]ABC Master Lists'!$AQ$2:$AS$12,3,FALSE)," ")</f>
        <v>+</v>
      </c>
      <c r="M89" s="122" t="str">
        <f>IFERROR(VLOOKUP(K89,'[1]ABC Master Lists'!$AD$2:$AE$22,2,FALSE), " ")</f>
        <v>+</v>
      </c>
    </row>
    <row r="90" spans="1:13" x14ac:dyDescent="0.25">
      <c r="D90" s="29"/>
      <c r="E90" s="45" t="s">
        <v>6</v>
      </c>
      <c r="F90" s="98">
        <v>9</v>
      </c>
      <c r="G90" s="46" t="s">
        <v>7</v>
      </c>
      <c r="H90" s="39" t="s">
        <v>20</v>
      </c>
      <c r="I90" s="39"/>
      <c r="J90" s="82" t="str">
        <f>IFERROR(VLOOKUP(I90,'[1]ABC Master Lists'!$B$2:$I$346,4,FALSE)," ")</f>
        <v xml:space="preserve"> </v>
      </c>
      <c r="K90" s="29" t="str">
        <f>IFERROR(VLOOKUP(I90,'[1]ABC Master Lists'!$B$2:$I$346,8,FALSE)," ")</f>
        <v xml:space="preserve"> </v>
      </c>
      <c r="L90" s="121" t="str">
        <f>IFERROR(VLOOKUP(J90,'[1]ABC Master Lists'!$AQ$2:$AS$12,3,FALSE)," ")</f>
        <v xml:space="preserve"> </v>
      </c>
      <c r="M90" s="121" t="str">
        <f>IFERROR(VLOOKUP(K90,'[1]ABC Master Lists'!$AD$2:$AE$22,2,FALSE), " ")</f>
        <v xml:space="preserve"> </v>
      </c>
    </row>
    <row r="91" spans="1:13" x14ac:dyDescent="0.25">
      <c r="D91" s="26">
        <v>9</v>
      </c>
      <c r="E91" s="40" t="s">
        <v>6</v>
      </c>
      <c r="F91" s="8">
        <v>12</v>
      </c>
      <c r="G91" s="42" t="s">
        <v>7</v>
      </c>
      <c r="H91" s="36" t="s">
        <v>5</v>
      </c>
      <c r="I91" s="36">
        <v>26</v>
      </c>
      <c r="J91" s="79">
        <f>IFERROR(VLOOKUP(I91,'[1]ABC Master Lists'!$B$2:$I$346,4,FALSE)," ")</f>
        <v>20</v>
      </c>
      <c r="K91" s="79">
        <f>IFERROR(VLOOKUP(I91,'[1]ABC Master Lists'!$B$2:$I$346,8,FALSE)," ")</f>
        <v>68</v>
      </c>
      <c r="L91" s="118" t="str">
        <f>IFERROR(VLOOKUP(J91,'[1]ABC Master Lists'!$AQ$2:$AS$12,3,FALSE)," ")</f>
        <v>+</v>
      </c>
      <c r="M91" s="118" t="str">
        <f>IFERROR(VLOOKUP(K91,'[1]ABC Master Lists'!$AD$2:$AE$22,2,FALSE), " ")</f>
        <v>+</v>
      </c>
    </row>
    <row r="92" spans="1:13" x14ac:dyDescent="0.25">
      <c r="E92" s="40" t="s">
        <v>6</v>
      </c>
      <c r="F92" s="8">
        <v>12</v>
      </c>
      <c r="G92" s="42" t="s">
        <v>7</v>
      </c>
      <c r="H92" s="36" t="s">
        <v>20</v>
      </c>
      <c r="J92" s="79" t="str">
        <f>IFERROR(VLOOKUP(I92,'[1]ABC Master Lists'!$B$2:$I$346,4,FALSE)," ")</f>
        <v xml:space="preserve"> </v>
      </c>
      <c r="K92" s="79" t="str">
        <f>IFERROR(VLOOKUP(I92,'[1]ABC Master Lists'!$B$2:$I$346,8,FALSE)," ")</f>
        <v xml:space="preserve"> </v>
      </c>
      <c r="L92" s="118" t="str">
        <f>IFERROR(VLOOKUP(J92,'[1]ABC Master Lists'!$AQ$2:$AS$12,3,FALSE)," ")</f>
        <v xml:space="preserve"> </v>
      </c>
      <c r="M92" s="118" t="str">
        <f>IFERROR(VLOOKUP(K92,'[1]ABC Master Lists'!$AD$2:$AE$22,2,FALSE), " ")</f>
        <v xml:space="preserve"> </v>
      </c>
    </row>
    <row r="93" spans="1:13" x14ac:dyDescent="0.25">
      <c r="D93" s="28">
        <v>14</v>
      </c>
      <c r="E93" s="43" t="s">
        <v>10</v>
      </c>
      <c r="F93" s="97">
        <v>8</v>
      </c>
      <c r="G93" s="48" t="s">
        <v>11</v>
      </c>
      <c r="H93" s="38" t="s">
        <v>5</v>
      </c>
      <c r="I93" s="38">
        <v>99</v>
      </c>
      <c r="J93" s="83">
        <f>IFERROR(VLOOKUP(I93,'[1]ABC Master Lists'!$B$2:$I$346,4,FALSE)," ")</f>
        <v>4</v>
      </c>
      <c r="K93" s="28">
        <f>IFERROR(VLOOKUP(I93,'[1]ABC Master Lists'!$B$2:$I$346,8,FALSE)," ")</f>
        <v>68</v>
      </c>
      <c r="L93" s="122" t="str">
        <f>IFERROR(VLOOKUP(J93,'[1]ABC Master Lists'!$AQ$2:$AS$12,3,FALSE)," ")</f>
        <v>+</v>
      </c>
      <c r="M93" s="122" t="str">
        <f>IFERROR(VLOOKUP(K93,'[1]ABC Master Lists'!$AD$2:$AE$22,2,FALSE), " ")</f>
        <v>+</v>
      </c>
    </row>
    <row r="94" spans="1:13" x14ac:dyDescent="0.25">
      <c r="D94" s="29"/>
      <c r="E94" s="45" t="s">
        <v>10</v>
      </c>
      <c r="F94" s="98">
        <v>8</v>
      </c>
      <c r="G94" s="46" t="s">
        <v>11</v>
      </c>
      <c r="H94" s="39" t="s">
        <v>20</v>
      </c>
      <c r="I94" s="39"/>
      <c r="J94" s="82" t="str">
        <f>IFERROR(VLOOKUP(I94,'[1]ABC Master Lists'!$B$2:$I$346,4,FALSE)," ")</f>
        <v xml:space="preserve"> </v>
      </c>
      <c r="K94" s="29" t="str">
        <f>IFERROR(VLOOKUP(I94,'[1]ABC Master Lists'!$B$2:$I$346,8,FALSE)," ")</f>
        <v xml:space="preserve"> </v>
      </c>
      <c r="L94" s="121" t="str">
        <f>IFERROR(VLOOKUP(J94,'[1]ABC Master Lists'!$AQ$2:$AS$12,3,FALSE)," ")</f>
        <v xml:space="preserve"> </v>
      </c>
      <c r="M94" s="121" t="str">
        <f>IFERROR(VLOOKUP(K94,'[1]ABC Master Lists'!$AD$2:$AE$22,2,FALSE), " ")</f>
        <v xml:space="preserve"> </v>
      </c>
    </row>
    <row r="95" spans="1:13" x14ac:dyDescent="0.25">
      <c r="D95" s="26">
        <v>15</v>
      </c>
      <c r="E95" s="40" t="s">
        <v>26</v>
      </c>
      <c r="F95" s="8">
        <v>13.7</v>
      </c>
      <c r="G95" s="42" t="s">
        <v>7</v>
      </c>
      <c r="H95" s="41" t="s">
        <v>5</v>
      </c>
      <c r="I95" s="36">
        <v>139</v>
      </c>
      <c r="J95" s="79">
        <f>IFERROR(VLOOKUP(I95,'[1]ABC Master Lists'!$B$2:$I$346,4,FALSE)," ")</f>
        <v>11</v>
      </c>
      <c r="K95" s="79">
        <f>IFERROR(VLOOKUP(I95,'[1]ABC Master Lists'!$B$2:$I$346,8,FALSE)," ")</f>
        <v>6</v>
      </c>
      <c r="L95" s="118" t="str">
        <f>IFERROR(VLOOKUP(J95,'[1]ABC Master Lists'!$AQ$2:$AS$12,3,FALSE)," ")</f>
        <v>+</v>
      </c>
      <c r="M95" s="118" t="str">
        <f>IFERROR(VLOOKUP(K95,'[1]ABC Master Lists'!$AD$2:$AE$22,2,FALSE), " ")</f>
        <v>+</v>
      </c>
    </row>
    <row r="96" spans="1:13" x14ac:dyDescent="0.25">
      <c r="D96" s="27">
        <v>23</v>
      </c>
      <c r="E96" s="84" t="s">
        <v>30</v>
      </c>
      <c r="F96" s="96">
        <v>4</v>
      </c>
      <c r="G96" s="85" t="s">
        <v>7</v>
      </c>
      <c r="H96" s="86" t="s">
        <v>5</v>
      </c>
      <c r="I96" s="37">
        <v>72</v>
      </c>
      <c r="J96" s="81">
        <f>IFERROR(VLOOKUP(I96,'[1]ABC Master Lists'!$B$2:$I$346,4,FALSE)," ")</f>
        <v>26</v>
      </c>
      <c r="K96" s="27">
        <f>IFERROR(VLOOKUP(I96,'[1]ABC Master Lists'!$B$2:$I$346,8,FALSE)," ")</f>
        <v>6</v>
      </c>
      <c r="L96" s="120" t="str">
        <f>IFERROR(VLOOKUP(J96,'[1]ABC Master Lists'!$AQ$2:$AS$12,3,FALSE)," ")</f>
        <v>+</v>
      </c>
      <c r="M96" s="120" t="str">
        <f>IFERROR(VLOOKUP(K96,'[1]ABC Master Lists'!$AD$2:$AE$22,2,FALSE), " ")</f>
        <v>+</v>
      </c>
    </row>
    <row r="97" spans="4:13" x14ac:dyDescent="0.25">
      <c r="D97" s="26">
        <v>25</v>
      </c>
      <c r="E97" s="40" t="s">
        <v>18</v>
      </c>
      <c r="F97" s="8">
        <v>8</v>
      </c>
      <c r="G97" s="42" t="s">
        <v>7</v>
      </c>
      <c r="H97" s="41" t="s">
        <v>34</v>
      </c>
      <c r="I97" s="36">
        <v>55</v>
      </c>
      <c r="J97" s="79">
        <f>IFERROR(VLOOKUP(I97,'[1]ABC Master Lists'!$B$2:$I$346,4,FALSE)," ")</f>
        <v>18</v>
      </c>
      <c r="K97" s="79">
        <f>IFERROR(VLOOKUP(I97,'[1]ABC Master Lists'!$B$2:$I$346,8,FALSE)," ")</f>
        <v>5</v>
      </c>
      <c r="L97" s="118" t="str">
        <f>IFERROR(VLOOKUP(J97,'[1]ABC Master Lists'!$AQ$2:$AS$12,3,FALSE)," ")</f>
        <v>+</v>
      </c>
      <c r="M97" s="118" t="str">
        <f>IFERROR(VLOOKUP(K97,'[1]ABC Master Lists'!$AD$2:$AE$22,2,FALSE), " ")</f>
        <v>+</v>
      </c>
    </row>
    <row r="98" spans="4:13" x14ac:dyDescent="0.25">
      <c r="E98" s="51" t="s">
        <v>19</v>
      </c>
      <c r="F98" s="8">
        <v>1</v>
      </c>
      <c r="G98" s="42" t="s">
        <v>4</v>
      </c>
      <c r="H98" s="41" t="s">
        <v>34</v>
      </c>
      <c r="J98" s="79" t="str">
        <f>IFERROR(VLOOKUP(I98,'[1]ABC Master Lists'!$B$2:$I$346,4,FALSE)," ")</f>
        <v xml:space="preserve"> </v>
      </c>
      <c r="K98" s="79" t="str">
        <f>IFERROR(VLOOKUP(I98,'[1]ABC Master Lists'!$B$2:$I$346,8,FALSE)," ")</f>
        <v xml:space="preserve"> </v>
      </c>
      <c r="L98" s="118" t="str">
        <f>IFERROR(VLOOKUP(J98,'[1]ABC Master Lists'!$AQ$2:$AS$12,3,FALSE)," ")</f>
        <v xml:space="preserve"> </v>
      </c>
      <c r="M98" s="118" t="str">
        <f>IFERROR(VLOOKUP(K98,'[1]ABC Master Lists'!$AD$2:$AE$22,2,FALSE), " ")</f>
        <v xml:space="preserve"> </v>
      </c>
    </row>
    <row r="99" spans="4:13" x14ac:dyDescent="0.25">
      <c r="D99" s="28">
        <v>26</v>
      </c>
      <c r="E99" s="43" t="s">
        <v>30</v>
      </c>
      <c r="F99" s="97">
        <v>4</v>
      </c>
      <c r="G99" s="48" t="s">
        <v>7</v>
      </c>
      <c r="H99" s="44" t="s">
        <v>5</v>
      </c>
      <c r="I99" s="38">
        <v>233</v>
      </c>
      <c r="J99" s="83">
        <f>IFERROR(VLOOKUP(I99,'[1]ABC Master Lists'!$B$2:$I$346,4,FALSE)," ")</f>
        <v>2826</v>
      </c>
      <c r="K99" s="28">
        <f>IFERROR(VLOOKUP(I99,'[1]ABC Master Lists'!$B$2:$I$346,8,FALSE)," ")</f>
        <v>6</v>
      </c>
      <c r="L99" s="122" t="str">
        <f>IFERROR(VLOOKUP(J99,'[1]ABC Master Lists'!$AQ$2:$AS$12,3,FALSE)," ")</f>
        <v xml:space="preserve"> </v>
      </c>
      <c r="M99" s="122" t="str">
        <f>IFERROR(VLOOKUP(K99,'[1]ABC Master Lists'!$AD$2:$AE$22,2,FALSE), " ")</f>
        <v>+</v>
      </c>
    </row>
    <row r="100" spans="4:13" x14ac:dyDescent="0.25">
      <c r="D100" s="29"/>
      <c r="E100" s="25" t="s">
        <v>35</v>
      </c>
      <c r="F100" s="98">
        <v>10</v>
      </c>
      <c r="G100" s="35" t="s">
        <v>7</v>
      </c>
      <c r="H100" s="39" t="s">
        <v>5</v>
      </c>
      <c r="I100" s="39"/>
      <c r="J100" s="82" t="str">
        <f>IFERROR(VLOOKUP(I100,'[1]ABC Master Lists'!$B$2:$I$346,4,FALSE)," ")</f>
        <v xml:space="preserve"> </v>
      </c>
      <c r="K100" s="29" t="str">
        <f>IFERROR(VLOOKUP(I100,'[1]ABC Master Lists'!$B$2:$I$346,8,FALSE)," ")</f>
        <v xml:space="preserve"> </v>
      </c>
      <c r="L100" s="121" t="str">
        <f>IFERROR(VLOOKUP(J100,'[1]ABC Master Lists'!$AQ$2:$AS$12,3,FALSE)," ")</f>
        <v xml:space="preserve"> </v>
      </c>
      <c r="M100" s="121" t="str">
        <f>IFERROR(VLOOKUP(K100,'[1]ABC Master Lists'!$AD$2:$AE$22,2,FALSE), " ")</f>
        <v xml:space="preserve"> </v>
      </c>
    </row>
    <row r="101" spans="4:13" x14ac:dyDescent="0.25">
      <c r="D101" s="26">
        <v>27</v>
      </c>
      <c r="E101" s="24" t="s">
        <v>35</v>
      </c>
      <c r="F101" s="8">
        <v>20</v>
      </c>
      <c r="G101" s="32" t="s">
        <v>7</v>
      </c>
      <c r="H101" s="36" t="s">
        <v>5</v>
      </c>
      <c r="I101" s="36">
        <v>210</v>
      </c>
      <c r="J101" s="79">
        <f>IFERROR(VLOOKUP(I101,'[1]ABC Master Lists'!$B$2:$I$346,4,FALSE)," ")</f>
        <v>28</v>
      </c>
      <c r="K101" s="79">
        <f>IFERROR(VLOOKUP(I101,'[1]ABC Master Lists'!$B$2:$I$346,8,FALSE)," ")</f>
        <v>6</v>
      </c>
      <c r="L101" s="118" t="str">
        <f>IFERROR(VLOOKUP(J101,'[1]ABC Master Lists'!$AQ$2:$AS$12,3,FALSE)," ")</f>
        <v>+</v>
      </c>
      <c r="M101" s="118" t="str">
        <f>IFERROR(VLOOKUP(K101,'[1]ABC Master Lists'!$AD$2:$AE$22,2,FALSE), " ")</f>
        <v>+</v>
      </c>
    </row>
    <row r="102" spans="4:13" x14ac:dyDescent="0.25">
      <c r="D102" s="27">
        <v>28</v>
      </c>
      <c r="E102" s="84" t="s">
        <v>10</v>
      </c>
      <c r="F102" s="96">
        <v>8</v>
      </c>
      <c r="G102" s="85" t="s">
        <v>11</v>
      </c>
      <c r="H102" s="86" t="s">
        <v>5</v>
      </c>
      <c r="I102" s="37">
        <v>90</v>
      </c>
      <c r="J102" s="81">
        <f>IFERROR(VLOOKUP(I102,'[1]ABC Master Lists'!$B$2:$I$346,4,FALSE)," ")</f>
        <v>4</v>
      </c>
      <c r="K102" s="27">
        <f>IFERROR(VLOOKUP(I102,'[1]ABC Master Lists'!$B$2:$I$346,8,FALSE)," ")</f>
        <v>6</v>
      </c>
      <c r="L102" s="120" t="str">
        <f>IFERROR(VLOOKUP(J102,'[1]ABC Master Lists'!$AQ$2:$AS$12,3,FALSE)," ")</f>
        <v>+</v>
      </c>
      <c r="M102" s="120" t="str">
        <f>IFERROR(VLOOKUP(K102,'[1]ABC Master Lists'!$AD$2:$AE$22,2,FALSE), " ")</f>
        <v>+</v>
      </c>
    </row>
    <row r="103" spans="4:13" x14ac:dyDescent="0.25">
      <c r="D103" s="26">
        <v>29</v>
      </c>
      <c r="E103" s="40" t="s">
        <v>36</v>
      </c>
      <c r="F103" s="8">
        <v>7</v>
      </c>
      <c r="G103" s="42" t="s">
        <v>7</v>
      </c>
      <c r="H103" s="41" t="s">
        <v>5</v>
      </c>
      <c r="I103" s="36">
        <v>203</v>
      </c>
      <c r="J103" s="79">
        <f>IFERROR(VLOOKUP(I103,'[1]ABC Master Lists'!$B$2:$I$346,4,FALSE)," ")</f>
        <v>15</v>
      </c>
      <c r="K103" s="79">
        <f>IFERROR(VLOOKUP(I103,'[1]ABC Master Lists'!$B$2:$I$346,8,FALSE)," ")</f>
        <v>6</v>
      </c>
      <c r="L103" s="118" t="str">
        <f>IFERROR(VLOOKUP(J103,'[1]ABC Master Lists'!$AQ$2:$AS$12,3,FALSE)," ")</f>
        <v xml:space="preserve"> </v>
      </c>
      <c r="M103" s="118" t="str">
        <f>IFERROR(VLOOKUP(K103,'[1]ABC Master Lists'!$AD$2:$AE$22,2,FALSE), " ")</f>
        <v>+</v>
      </c>
    </row>
    <row r="104" spans="4:13" x14ac:dyDescent="0.25">
      <c r="D104" s="28">
        <v>30</v>
      </c>
      <c r="E104" s="43" t="s">
        <v>13</v>
      </c>
      <c r="F104" s="97">
        <v>3</v>
      </c>
      <c r="G104" s="48" t="s">
        <v>7</v>
      </c>
      <c r="H104" s="44" t="s">
        <v>5</v>
      </c>
      <c r="I104" s="38">
        <v>163</v>
      </c>
      <c r="J104" s="83">
        <f>IFERROR(VLOOKUP(I104,'[1]ABC Master Lists'!$B$2:$I$346,4,FALSE)," ")</f>
        <v>22</v>
      </c>
      <c r="K104" s="28">
        <f>IFERROR(VLOOKUP(I104,'[1]ABC Master Lists'!$B$2:$I$346,8,FALSE)," ")</f>
        <v>68</v>
      </c>
      <c r="L104" s="122" t="str">
        <f>IFERROR(VLOOKUP(J104,'[1]ABC Master Lists'!$AQ$2:$AS$12,3,FALSE)," ")</f>
        <v>+</v>
      </c>
      <c r="M104" s="122" t="str">
        <f>IFERROR(VLOOKUP(K104,'[1]ABC Master Lists'!$AD$2:$AE$22,2,FALSE), " ")</f>
        <v>+</v>
      </c>
    </row>
    <row r="105" spans="4:13" x14ac:dyDescent="0.25">
      <c r="D105" s="29"/>
      <c r="E105" s="45" t="s">
        <v>13</v>
      </c>
      <c r="F105" s="98">
        <v>3</v>
      </c>
      <c r="G105" s="35" t="s">
        <v>7</v>
      </c>
      <c r="H105" s="39" t="s">
        <v>20</v>
      </c>
      <c r="I105" s="39"/>
      <c r="J105" s="82" t="str">
        <f>IFERROR(VLOOKUP(I105,'[1]ABC Master Lists'!$B$2:$I$346,4,FALSE)," ")</f>
        <v xml:space="preserve"> </v>
      </c>
      <c r="K105" s="29" t="str">
        <f>IFERROR(VLOOKUP(I105,'[1]ABC Master Lists'!$B$2:$I$346,8,FALSE)," ")</f>
        <v xml:space="preserve"> </v>
      </c>
      <c r="L105" s="121" t="str">
        <f>IFERROR(VLOOKUP(J105,'[1]ABC Master Lists'!$AQ$2:$AS$12,3,FALSE)," ")</f>
        <v xml:space="preserve"> </v>
      </c>
      <c r="M105" s="121" t="str">
        <f>IFERROR(VLOOKUP(K105,'[1]ABC Master Lists'!$AD$2:$AE$22,2,FALSE), " ")</f>
        <v xml:space="preserve"> </v>
      </c>
    </row>
    <row r="106" spans="4:13" x14ac:dyDescent="0.25">
      <c r="D106" s="26">
        <v>31</v>
      </c>
      <c r="E106" s="40" t="s">
        <v>13</v>
      </c>
      <c r="F106" s="8">
        <v>5</v>
      </c>
      <c r="G106" s="42" t="s">
        <v>7</v>
      </c>
      <c r="H106" s="41" t="s">
        <v>5</v>
      </c>
      <c r="I106" s="36">
        <v>164</v>
      </c>
      <c r="J106" s="79">
        <f>IFERROR(VLOOKUP(I106,'[1]ABC Master Lists'!$B$2:$I$346,4,FALSE)," ")</f>
        <v>22</v>
      </c>
      <c r="K106" s="79">
        <f>IFERROR(VLOOKUP(I106,'[1]ABC Master Lists'!$B$2:$I$346,8,FALSE)," ")</f>
        <v>68</v>
      </c>
      <c r="L106" s="118" t="str">
        <f>IFERROR(VLOOKUP(J106,'[1]ABC Master Lists'!$AQ$2:$AS$12,3,FALSE)," ")</f>
        <v>+</v>
      </c>
      <c r="M106" s="118" t="str">
        <f>IFERROR(VLOOKUP(K106,'[1]ABC Master Lists'!$AD$2:$AE$22,2,FALSE), " ")</f>
        <v>+</v>
      </c>
    </row>
    <row r="107" spans="4:13" x14ac:dyDescent="0.25">
      <c r="E107" s="40" t="s">
        <v>13</v>
      </c>
      <c r="F107" s="8">
        <v>5</v>
      </c>
      <c r="G107" s="32" t="s">
        <v>7</v>
      </c>
      <c r="H107" s="36" t="s">
        <v>20</v>
      </c>
      <c r="J107" s="79" t="str">
        <f>IFERROR(VLOOKUP(I107,'[1]ABC Master Lists'!$B$2:$I$346,4,FALSE)," ")</f>
        <v xml:space="preserve"> </v>
      </c>
      <c r="K107" s="79" t="str">
        <f>IFERROR(VLOOKUP(I107,'[1]ABC Master Lists'!$B$2:$I$346,8,FALSE)," ")</f>
        <v xml:space="preserve"> </v>
      </c>
      <c r="L107" s="118" t="str">
        <f>IFERROR(VLOOKUP(J107,'[1]ABC Master Lists'!$AQ$2:$AS$12,3,FALSE)," ")</f>
        <v xml:space="preserve"> </v>
      </c>
      <c r="M107" s="118" t="str">
        <f>IFERROR(VLOOKUP(K107,'[1]ABC Master Lists'!$AD$2:$AE$22,2,FALSE), " ")</f>
        <v xml:space="preserve"> </v>
      </c>
    </row>
    <row r="108" spans="4:13" x14ac:dyDescent="0.25">
      <c r="D108" s="28">
        <v>32</v>
      </c>
      <c r="E108" s="43" t="s">
        <v>13</v>
      </c>
      <c r="F108" s="97">
        <v>3</v>
      </c>
      <c r="G108" s="48" t="s">
        <v>7</v>
      </c>
      <c r="H108" s="44" t="s">
        <v>5</v>
      </c>
      <c r="I108" s="38">
        <v>168</v>
      </c>
      <c r="J108" s="83">
        <f>IFERROR(VLOOKUP(I108,'[1]ABC Master Lists'!$B$2:$I$346,4,FALSE)," ")</f>
        <v>2229</v>
      </c>
      <c r="K108" s="28">
        <f>IFERROR(VLOOKUP(I108,'[1]ABC Master Lists'!$B$2:$I$346,8,FALSE)," ")</f>
        <v>68</v>
      </c>
      <c r="L108" s="122" t="str">
        <f>IFERROR(VLOOKUP(J108,'[1]ABC Master Lists'!$AQ$2:$AS$12,3,FALSE)," ")</f>
        <v>+</v>
      </c>
      <c r="M108" s="122" t="str">
        <f>IFERROR(VLOOKUP(K108,'[1]ABC Master Lists'!$AD$2:$AE$22,2,FALSE), " ")</f>
        <v>+</v>
      </c>
    </row>
    <row r="109" spans="4:13" x14ac:dyDescent="0.25">
      <c r="E109" s="24" t="s">
        <v>28</v>
      </c>
      <c r="F109" s="8">
        <v>4.6500000000000004</v>
      </c>
      <c r="G109" s="32" t="s">
        <v>7</v>
      </c>
      <c r="H109" s="36" t="s">
        <v>20</v>
      </c>
      <c r="J109" s="79" t="str">
        <f>IFERROR(VLOOKUP(I109,'[1]ABC Master Lists'!$B$2:$I$346,4,FALSE)," ")</f>
        <v xml:space="preserve"> </v>
      </c>
      <c r="K109" s="26" t="str">
        <f>IFERROR(VLOOKUP(I109,'[1]ABC Master Lists'!$B$2:$I$346,8,FALSE)," ")</f>
        <v xml:space="preserve"> </v>
      </c>
      <c r="L109" s="118" t="str">
        <f>IFERROR(VLOOKUP(J109,'[1]ABC Master Lists'!$AQ$2:$AS$12,3,FALSE)," ")</f>
        <v xml:space="preserve"> </v>
      </c>
      <c r="M109" s="118" t="str">
        <f>IFERROR(VLOOKUP(K109,'[1]ABC Master Lists'!$AD$2:$AE$22,2,FALSE), " ")</f>
        <v xml:space="preserve"> </v>
      </c>
    </row>
    <row r="110" spans="4:13" x14ac:dyDescent="0.25">
      <c r="D110" s="29"/>
      <c r="E110" s="99" t="s">
        <v>33</v>
      </c>
      <c r="F110" s="98">
        <v>0.125</v>
      </c>
      <c r="G110" s="35" t="s">
        <v>9</v>
      </c>
      <c r="H110" s="39" t="s">
        <v>20</v>
      </c>
      <c r="I110" s="39"/>
      <c r="J110" s="82" t="str">
        <f>IFERROR(VLOOKUP(I110,'[1]ABC Master Lists'!$B$2:$I$346,4,FALSE)," ")</f>
        <v xml:space="preserve"> </v>
      </c>
      <c r="K110" s="29" t="str">
        <f>IFERROR(VLOOKUP(I110,'[1]ABC Master Lists'!$B$2:$I$346,8,FALSE)," ")</f>
        <v xml:space="preserve"> </v>
      </c>
      <c r="L110" s="121" t="str">
        <f>IFERROR(VLOOKUP(J110,'[1]ABC Master Lists'!$AQ$2:$AS$12,3,FALSE)," ")</f>
        <v xml:space="preserve"> </v>
      </c>
      <c r="M110" s="121" t="str">
        <f>IFERROR(VLOOKUP(K110,'[1]ABC Master Lists'!$AD$2:$AE$22,2,FALSE), " ")</f>
        <v xml:space="preserve"> </v>
      </c>
    </row>
    <row r="111" spans="4:13" x14ac:dyDescent="0.25">
      <c r="D111" s="26">
        <v>33</v>
      </c>
      <c r="E111" s="24" t="s">
        <v>10</v>
      </c>
      <c r="F111" s="8">
        <v>5.5</v>
      </c>
      <c r="G111" s="42" t="s">
        <v>11</v>
      </c>
      <c r="H111" s="36" t="s">
        <v>5</v>
      </c>
      <c r="I111" s="36">
        <v>97</v>
      </c>
      <c r="J111" s="79">
        <f>IFERROR(VLOOKUP(I111,'[1]ABC Master Lists'!$B$2:$I$346,4,FALSE)," ")</f>
        <v>4</v>
      </c>
      <c r="K111" s="79">
        <f>IFERROR(VLOOKUP(I111,'[1]ABC Master Lists'!$B$2:$I$346,8,FALSE)," ")</f>
        <v>68</v>
      </c>
      <c r="L111" s="118" t="str">
        <f>IFERROR(VLOOKUP(J111,'[1]ABC Master Lists'!$AQ$2:$AS$12,3,FALSE)," ")</f>
        <v>+</v>
      </c>
      <c r="M111" s="118" t="str">
        <f>IFERROR(VLOOKUP(K111,'[1]ABC Master Lists'!$AD$2:$AE$22,2,FALSE), " ")</f>
        <v>+</v>
      </c>
    </row>
    <row r="112" spans="4:13" x14ac:dyDescent="0.25">
      <c r="E112" s="24" t="s">
        <v>10</v>
      </c>
      <c r="F112" s="8">
        <v>5.5</v>
      </c>
      <c r="G112" s="32" t="s">
        <v>11</v>
      </c>
      <c r="H112" s="36" t="s">
        <v>20</v>
      </c>
      <c r="J112" s="79" t="str">
        <f>IFERROR(VLOOKUP(I112,'[1]ABC Master Lists'!$B$2:$I$346,4,FALSE)," ")</f>
        <v xml:space="preserve"> </v>
      </c>
      <c r="K112" s="79" t="str">
        <f>IFERROR(VLOOKUP(I112,'[1]ABC Master Lists'!$B$2:$I$346,8,FALSE)," ")</f>
        <v xml:space="preserve"> </v>
      </c>
      <c r="L112" s="118" t="str">
        <f>IFERROR(VLOOKUP(J112,'[1]ABC Master Lists'!$AQ$2:$AS$12,3,FALSE)," ")</f>
        <v xml:space="preserve"> </v>
      </c>
      <c r="M112" s="118" t="str">
        <f>IFERROR(VLOOKUP(K112,'[1]ABC Master Lists'!$AD$2:$AE$22,2,FALSE), " ")</f>
        <v xml:space="preserve"> </v>
      </c>
    </row>
    <row r="113" spans="4:13" x14ac:dyDescent="0.25">
      <c r="D113" s="28">
        <v>34</v>
      </c>
      <c r="E113" s="31" t="s">
        <v>18</v>
      </c>
      <c r="F113" s="97">
        <v>6</v>
      </c>
      <c r="G113" s="48" t="s">
        <v>7</v>
      </c>
      <c r="H113" s="38" t="s">
        <v>20</v>
      </c>
      <c r="I113" s="38">
        <v>54</v>
      </c>
      <c r="J113" s="83">
        <f>IFERROR(VLOOKUP(I113,'[1]ABC Master Lists'!$B$2:$I$346,4,FALSE)," ")</f>
        <v>18</v>
      </c>
      <c r="K113" s="28">
        <f>IFERROR(VLOOKUP(I113,'[1]ABC Master Lists'!$B$2:$I$346,8,FALSE)," ")</f>
        <v>8</v>
      </c>
      <c r="L113" s="122" t="str">
        <f>IFERROR(VLOOKUP(J113,'[1]ABC Master Lists'!$AQ$2:$AS$12,3,FALSE)," ")</f>
        <v>+</v>
      </c>
      <c r="M113" s="122" t="str">
        <f>IFERROR(VLOOKUP(K113,'[1]ABC Master Lists'!$AD$2:$AE$22,2,FALSE), " ")</f>
        <v>+</v>
      </c>
    </row>
    <row r="114" spans="4:13" x14ac:dyDescent="0.25">
      <c r="D114" s="29"/>
      <c r="E114" s="99" t="s">
        <v>37</v>
      </c>
      <c r="F114" s="98">
        <v>0.25</v>
      </c>
      <c r="G114" s="35" t="s">
        <v>9</v>
      </c>
      <c r="H114" s="39" t="s">
        <v>20</v>
      </c>
      <c r="I114" s="39"/>
      <c r="J114" s="82" t="str">
        <f>IFERROR(VLOOKUP(I114,'[1]ABC Master Lists'!$B$2:$I$346,4,FALSE)," ")</f>
        <v xml:space="preserve"> </v>
      </c>
      <c r="K114" s="29" t="str">
        <f>IFERROR(VLOOKUP(I114,'[1]ABC Master Lists'!$B$2:$I$346,8,FALSE)," ")</f>
        <v xml:space="preserve"> </v>
      </c>
      <c r="L114" s="121" t="str">
        <f>IFERROR(VLOOKUP(J114,'[1]ABC Master Lists'!$AQ$2:$AS$12,3,FALSE)," ")</f>
        <v xml:space="preserve"> </v>
      </c>
      <c r="M114" s="121" t="str">
        <f>IFERROR(VLOOKUP(K114,'[1]ABC Master Lists'!$AD$2:$AE$22,2,FALSE), " ")</f>
        <v xml:space="preserve"> </v>
      </c>
    </row>
    <row r="115" spans="4:13" x14ac:dyDescent="0.25">
      <c r="D115" s="26">
        <v>35</v>
      </c>
      <c r="E115" s="24" t="s">
        <v>13</v>
      </c>
      <c r="F115" s="8">
        <v>3</v>
      </c>
      <c r="G115" s="42" t="s">
        <v>7</v>
      </c>
      <c r="H115" s="36" t="s">
        <v>5</v>
      </c>
      <c r="I115" s="36">
        <v>171</v>
      </c>
      <c r="J115" s="79">
        <f>IFERROR(VLOOKUP(I115,'[1]ABC Master Lists'!$B$2:$I$346,4,FALSE)," ")</f>
        <v>2229</v>
      </c>
      <c r="K115" s="79">
        <f>IFERROR(VLOOKUP(I115,'[1]ABC Master Lists'!$B$2:$I$346,8,FALSE)," ")</f>
        <v>68</v>
      </c>
      <c r="L115" s="118" t="str">
        <f>IFERROR(VLOOKUP(J115,'[1]ABC Master Lists'!$AQ$2:$AS$12,3,FALSE)," ")</f>
        <v>+</v>
      </c>
      <c r="M115" s="118" t="str">
        <f>IFERROR(VLOOKUP(K115,'[1]ABC Master Lists'!$AD$2:$AE$22,2,FALSE), " ")</f>
        <v>+</v>
      </c>
    </row>
    <row r="116" spans="4:13" x14ac:dyDescent="0.25">
      <c r="E116" s="24" t="s">
        <v>38</v>
      </c>
      <c r="F116" s="8">
        <v>4.6500000000000004</v>
      </c>
      <c r="G116" s="32" t="s">
        <v>7</v>
      </c>
      <c r="H116" s="36" t="s">
        <v>20</v>
      </c>
      <c r="J116" s="79" t="str">
        <f>IFERROR(VLOOKUP(I116,'[1]ABC Master Lists'!$B$2:$I$346,4,FALSE)," ")</f>
        <v xml:space="preserve"> </v>
      </c>
      <c r="K116" s="79" t="str">
        <f>IFERROR(VLOOKUP(I116,'[1]ABC Master Lists'!$B$2:$I$346,8,FALSE)," ")</f>
        <v xml:space="preserve"> </v>
      </c>
      <c r="L116" s="118" t="str">
        <f>IFERROR(VLOOKUP(J116,'[1]ABC Master Lists'!$AQ$2:$AS$12,3,FALSE)," ")</f>
        <v xml:space="preserve"> </v>
      </c>
      <c r="M116" s="118" t="str">
        <f>IFERROR(VLOOKUP(K116,'[1]ABC Master Lists'!$AD$2:$AE$22,2,FALSE), " ")</f>
        <v xml:space="preserve"> </v>
      </c>
    </row>
    <row r="117" spans="4:13" x14ac:dyDescent="0.25">
      <c r="D117" s="28">
        <v>42</v>
      </c>
      <c r="E117" s="43" t="s">
        <v>18</v>
      </c>
      <c r="F117" s="97">
        <v>8</v>
      </c>
      <c r="G117" s="48" t="s">
        <v>7</v>
      </c>
      <c r="H117" s="44" t="s">
        <v>5</v>
      </c>
      <c r="I117" s="38">
        <v>56</v>
      </c>
      <c r="J117" s="83">
        <f>IFERROR(VLOOKUP(I117,'[1]ABC Master Lists'!$B$2:$I$346,4,FALSE)," ")</f>
        <v>18</v>
      </c>
      <c r="K117" s="28">
        <f>IFERROR(VLOOKUP(I117,'[1]ABC Master Lists'!$B$2:$I$346,8,FALSE)," ")</f>
        <v>6</v>
      </c>
      <c r="L117" s="122" t="str">
        <f>IFERROR(VLOOKUP(J117,'[1]ABC Master Lists'!$AQ$2:$AS$12,3,FALSE)," ")</f>
        <v>+</v>
      </c>
      <c r="M117" s="122" t="str">
        <f>IFERROR(VLOOKUP(K117,'[1]ABC Master Lists'!$AD$2:$AE$22,2,FALSE), " ")</f>
        <v>+</v>
      </c>
    </row>
    <row r="118" spans="4:13" x14ac:dyDescent="0.25">
      <c r="D118" s="29"/>
      <c r="E118" s="100" t="s">
        <v>19</v>
      </c>
      <c r="F118" s="98">
        <v>1</v>
      </c>
      <c r="G118" s="46" t="s">
        <v>4</v>
      </c>
      <c r="H118" s="47" t="s">
        <v>5</v>
      </c>
      <c r="I118" s="39"/>
      <c r="J118" s="82" t="str">
        <f>IFERROR(VLOOKUP(I118,'[1]ABC Master Lists'!$B$2:$I$346,4,FALSE)," ")</f>
        <v xml:space="preserve"> </v>
      </c>
      <c r="K118" s="29" t="str">
        <f>IFERROR(VLOOKUP(I118,'[1]ABC Master Lists'!$B$2:$I$346,8,FALSE)," ")</f>
        <v xml:space="preserve"> </v>
      </c>
      <c r="L118" s="121" t="str">
        <f>IFERROR(VLOOKUP(J118,'[1]ABC Master Lists'!$AQ$2:$AS$12,3,FALSE)," ")</f>
        <v xml:space="preserve"> </v>
      </c>
      <c r="M118" s="121" t="str">
        <f>IFERROR(VLOOKUP(K118,'[1]ABC Master Lists'!$AD$2:$AE$22,2,FALSE), " ")</f>
        <v xml:space="preserve"> </v>
      </c>
    </row>
    <row r="119" spans="4:13" x14ac:dyDescent="0.25">
      <c r="D119" s="26">
        <v>43</v>
      </c>
      <c r="E119" s="24" t="s">
        <v>39</v>
      </c>
      <c r="F119" s="8">
        <v>8</v>
      </c>
      <c r="G119" s="42" t="s">
        <v>7</v>
      </c>
      <c r="H119" s="36" t="s">
        <v>5</v>
      </c>
      <c r="I119" s="36">
        <v>186</v>
      </c>
      <c r="J119" s="79">
        <f>IFERROR(VLOOKUP(I119,'[1]ABC Master Lists'!$B$2:$I$346,4,FALSE)," ")</f>
        <v>10</v>
      </c>
      <c r="K119" s="79">
        <f>IFERROR(VLOOKUP(I119,'[1]ABC Master Lists'!$B$2:$I$346,8,FALSE)," ")</f>
        <v>6</v>
      </c>
      <c r="L119" s="118" t="str">
        <f>IFERROR(VLOOKUP(J119,'[1]ABC Master Lists'!$AQ$2:$AS$12,3,FALSE)," ")</f>
        <v xml:space="preserve"> </v>
      </c>
      <c r="M119" s="118" t="str">
        <f>IFERROR(VLOOKUP(K119,'[1]ABC Master Lists'!$AD$2:$AE$22,2,FALSE), " ")</f>
        <v>+</v>
      </c>
    </row>
    <row r="120" spans="4:13" x14ac:dyDescent="0.25">
      <c r="E120" s="52" t="s">
        <v>8</v>
      </c>
      <c r="F120" s="8">
        <v>0.125</v>
      </c>
      <c r="G120" s="32" t="s">
        <v>9</v>
      </c>
      <c r="H120" s="36" t="s">
        <v>5</v>
      </c>
      <c r="J120" s="79" t="str">
        <f>IFERROR(VLOOKUP(I120,'[1]ABC Master Lists'!$B$2:$I$346,4,FALSE)," ")</f>
        <v xml:space="preserve"> </v>
      </c>
      <c r="K120" s="79" t="str">
        <f>IFERROR(VLOOKUP(I120,'[1]ABC Master Lists'!$B$2:$I$346,8,FALSE)," ")</f>
        <v xml:space="preserve"> </v>
      </c>
      <c r="L120" s="118" t="str">
        <f>IFERROR(VLOOKUP(J120,'[1]ABC Master Lists'!$AQ$2:$AS$12,3,FALSE)," ")</f>
        <v xml:space="preserve"> </v>
      </c>
      <c r="M120" s="118" t="str">
        <f>IFERROR(VLOOKUP(K120,'[1]ABC Master Lists'!$AD$2:$AE$22,2,FALSE), " ")</f>
        <v xml:space="preserve"> </v>
      </c>
    </row>
    <row r="121" spans="4:13" x14ac:dyDescent="0.25">
      <c r="D121" s="28">
        <v>44</v>
      </c>
      <c r="E121" s="31" t="s">
        <v>39</v>
      </c>
      <c r="F121" s="97">
        <v>8</v>
      </c>
      <c r="G121" s="48" t="s">
        <v>7</v>
      </c>
      <c r="H121" s="38" t="s">
        <v>5</v>
      </c>
      <c r="I121" s="38">
        <v>187</v>
      </c>
      <c r="J121" s="83">
        <f>IFERROR(VLOOKUP(I121,'[1]ABC Master Lists'!$B$2:$I$346,4,FALSE)," ")</f>
        <v>10</v>
      </c>
      <c r="K121" s="28">
        <f>IFERROR(VLOOKUP(I121,'[1]ABC Master Lists'!$B$2:$I$346,8,FALSE)," ")</f>
        <v>68</v>
      </c>
      <c r="L121" s="122" t="str">
        <f>IFERROR(VLOOKUP(J121,'[1]ABC Master Lists'!$AQ$2:$AS$12,3,FALSE)," ")</f>
        <v xml:space="preserve"> </v>
      </c>
      <c r="M121" s="122" t="str">
        <f>IFERROR(VLOOKUP(K121,'[1]ABC Master Lists'!$AD$2:$AE$22,2,FALSE), " ")</f>
        <v>+</v>
      </c>
    </row>
    <row r="122" spans="4:13" x14ac:dyDescent="0.25">
      <c r="E122" s="52" t="s">
        <v>8</v>
      </c>
      <c r="F122" s="8">
        <v>0.125</v>
      </c>
      <c r="G122" s="32" t="s">
        <v>9</v>
      </c>
      <c r="H122" s="36" t="s">
        <v>5</v>
      </c>
      <c r="J122" s="79" t="str">
        <f>IFERROR(VLOOKUP(I122,'[1]ABC Master Lists'!$B$2:$I$346,4,FALSE)," ")</f>
        <v xml:space="preserve"> </v>
      </c>
      <c r="K122" s="26" t="str">
        <f>IFERROR(VLOOKUP(I122,'[1]ABC Master Lists'!$B$2:$I$346,8,FALSE)," ")</f>
        <v xml:space="preserve"> </v>
      </c>
      <c r="L122" s="118" t="str">
        <f>IFERROR(VLOOKUP(J122,'[1]ABC Master Lists'!$AQ$2:$AS$12,3,FALSE)," ")</f>
        <v xml:space="preserve"> </v>
      </c>
      <c r="M122" s="118" t="str">
        <f>IFERROR(VLOOKUP(K122,'[1]ABC Master Lists'!$AD$2:$AE$22,2,FALSE), " ")</f>
        <v xml:space="preserve"> </v>
      </c>
    </row>
    <row r="123" spans="4:13" x14ac:dyDescent="0.25">
      <c r="E123" s="24" t="s">
        <v>39</v>
      </c>
      <c r="F123" s="8">
        <v>8</v>
      </c>
      <c r="G123" s="42" t="s">
        <v>7</v>
      </c>
      <c r="H123" s="36" t="s">
        <v>20</v>
      </c>
      <c r="J123" s="79" t="str">
        <f>IFERROR(VLOOKUP(I123,'[1]ABC Master Lists'!$B$2:$I$346,4,FALSE)," ")</f>
        <v xml:space="preserve"> </v>
      </c>
      <c r="K123" s="26" t="str">
        <f>IFERROR(VLOOKUP(I123,'[1]ABC Master Lists'!$B$2:$I$346,8,FALSE)," ")</f>
        <v xml:space="preserve"> </v>
      </c>
      <c r="L123" s="118" t="str">
        <f>IFERROR(VLOOKUP(J123,'[1]ABC Master Lists'!$AQ$2:$AS$12,3,FALSE)," ")</f>
        <v xml:space="preserve"> </v>
      </c>
      <c r="M123" s="118" t="str">
        <f>IFERROR(VLOOKUP(K123,'[1]ABC Master Lists'!$AD$2:$AE$22,2,FALSE), " ")</f>
        <v xml:space="preserve"> </v>
      </c>
    </row>
    <row r="124" spans="4:13" x14ac:dyDescent="0.25">
      <c r="D124" s="29"/>
      <c r="E124" s="99" t="s">
        <v>8</v>
      </c>
      <c r="F124" s="98">
        <v>0.125</v>
      </c>
      <c r="G124" s="35" t="s">
        <v>9</v>
      </c>
      <c r="H124" s="39" t="s">
        <v>20</v>
      </c>
      <c r="I124" s="39"/>
      <c r="J124" s="82" t="str">
        <f>IFERROR(VLOOKUP(I124,'[1]ABC Master Lists'!$B$2:$I$346,4,FALSE)," ")</f>
        <v xml:space="preserve"> </v>
      </c>
      <c r="K124" s="29" t="str">
        <f>IFERROR(VLOOKUP(I124,'[1]ABC Master Lists'!$B$2:$I$346,8,FALSE)," ")</f>
        <v xml:space="preserve"> </v>
      </c>
      <c r="L124" s="121" t="str">
        <f>IFERROR(VLOOKUP(J124,'[1]ABC Master Lists'!$AQ$2:$AS$12,3,FALSE)," ")</f>
        <v xml:space="preserve"> </v>
      </c>
      <c r="M124" s="121" t="str">
        <f>IFERROR(VLOOKUP(K124,'[1]ABC Master Lists'!$AD$2:$AE$22,2,FALSE), " ")</f>
        <v xml:space="preserve"> </v>
      </c>
    </row>
    <row r="125" spans="4:13" x14ac:dyDescent="0.25">
      <c r="D125" s="26">
        <v>45</v>
      </c>
      <c r="E125" s="24" t="s">
        <v>39</v>
      </c>
      <c r="F125" s="8">
        <v>8</v>
      </c>
      <c r="G125" s="42" t="s">
        <v>7</v>
      </c>
      <c r="H125" s="36" t="s">
        <v>5</v>
      </c>
      <c r="I125" s="36">
        <v>188</v>
      </c>
      <c r="J125" s="79">
        <f>IFERROR(VLOOKUP(I125,'[1]ABC Master Lists'!$B$2:$I$346,4,FALSE)," ")</f>
        <v>1028</v>
      </c>
      <c r="K125" s="79">
        <f>IFERROR(VLOOKUP(I125,'[1]ABC Master Lists'!$B$2:$I$346,8,FALSE)," ")</f>
        <v>6</v>
      </c>
      <c r="L125" s="118" t="str">
        <f>IFERROR(VLOOKUP(J125,'[1]ABC Master Lists'!$AQ$2:$AS$12,3,FALSE)," ")</f>
        <v xml:space="preserve"> </v>
      </c>
      <c r="M125" s="118" t="str">
        <f>IFERROR(VLOOKUP(K125,'[1]ABC Master Lists'!$AD$2:$AE$22,2,FALSE), " ")</f>
        <v>+</v>
      </c>
    </row>
    <row r="126" spans="4:13" x14ac:dyDescent="0.25">
      <c r="E126" s="52" t="s">
        <v>8</v>
      </c>
      <c r="F126" s="8">
        <v>0.125</v>
      </c>
      <c r="G126" s="32" t="s">
        <v>9</v>
      </c>
      <c r="H126" s="36" t="s">
        <v>5</v>
      </c>
      <c r="J126" s="79" t="str">
        <f>IFERROR(VLOOKUP(I126,'[1]ABC Master Lists'!$B$2:$I$346,4,FALSE)," ")</f>
        <v xml:space="preserve"> </v>
      </c>
      <c r="K126" s="79" t="str">
        <f>IFERROR(VLOOKUP(I126,'[1]ABC Master Lists'!$B$2:$I$346,8,FALSE)," ")</f>
        <v xml:space="preserve"> </v>
      </c>
      <c r="L126" s="118" t="str">
        <f>IFERROR(VLOOKUP(J126,'[1]ABC Master Lists'!$AQ$2:$AS$12,3,FALSE)," ")</f>
        <v xml:space="preserve"> </v>
      </c>
      <c r="M126" s="118" t="str">
        <f>IFERROR(VLOOKUP(K126,'[1]ABC Master Lists'!$AD$2:$AE$22,2,FALSE), " ")</f>
        <v xml:space="preserve"> </v>
      </c>
    </row>
    <row r="127" spans="4:13" x14ac:dyDescent="0.25">
      <c r="E127" s="24" t="s">
        <v>40</v>
      </c>
      <c r="F127" s="8">
        <v>1</v>
      </c>
      <c r="G127" s="42" t="s">
        <v>41</v>
      </c>
      <c r="H127" s="36" t="s">
        <v>5</v>
      </c>
      <c r="J127" s="79" t="str">
        <f>IFERROR(VLOOKUP(I127,'[1]ABC Master Lists'!$B$2:$I$346,4,FALSE)," ")</f>
        <v xml:space="preserve"> </v>
      </c>
      <c r="K127" s="79" t="str">
        <f>IFERROR(VLOOKUP(I127,'[1]ABC Master Lists'!$B$2:$I$346,8,FALSE)," ")</f>
        <v xml:space="preserve"> </v>
      </c>
      <c r="L127" s="118" t="str">
        <f>IFERROR(VLOOKUP(J127,'[1]ABC Master Lists'!$AQ$2:$AS$12,3,FALSE)," ")</f>
        <v xml:space="preserve"> </v>
      </c>
      <c r="M127" s="118" t="str">
        <f>IFERROR(VLOOKUP(K127,'[1]ABC Master Lists'!$AD$2:$AE$22,2,FALSE), " ")</f>
        <v xml:space="preserve"> </v>
      </c>
    </row>
    <row r="128" spans="4:13" x14ac:dyDescent="0.25">
      <c r="D128" s="28">
        <v>47</v>
      </c>
      <c r="E128" s="31" t="s">
        <v>10</v>
      </c>
      <c r="F128" s="97">
        <v>4</v>
      </c>
      <c r="G128" s="34" t="s">
        <v>7</v>
      </c>
      <c r="H128" s="38" t="s">
        <v>5</v>
      </c>
      <c r="I128" s="38">
        <v>85</v>
      </c>
      <c r="J128" s="83">
        <f>IFERROR(VLOOKUP(I128,'[1]ABC Master Lists'!$B$2:$I$346,4,FALSE)," ")</f>
        <v>4</v>
      </c>
      <c r="K128" s="28">
        <f>IFERROR(VLOOKUP(I128,'[1]ABC Master Lists'!$B$2:$I$346,8,FALSE)," ")</f>
        <v>6</v>
      </c>
      <c r="L128" s="122" t="str">
        <f>IFERROR(VLOOKUP(J128,'[1]ABC Master Lists'!$AQ$2:$AS$12,3,FALSE)," ")</f>
        <v>+</v>
      </c>
      <c r="M128" s="122" t="str">
        <f>IFERROR(VLOOKUP(K128,'[1]ABC Master Lists'!$AD$2:$AE$22,2,FALSE), " ")</f>
        <v>+</v>
      </c>
    </row>
    <row r="129" spans="4:13" x14ac:dyDescent="0.25">
      <c r="D129" s="29"/>
      <c r="E129" s="99" t="s">
        <v>42</v>
      </c>
      <c r="F129" s="98">
        <v>0.5</v>
      </c>
      <c r="G129" s="35" t="s">
        <v>9</v>
      </c>
      <c r="H129" s="39" t="s">
        <v>5</v>
      </c>
      <c r="I129" s="39"/>
      <c r="J129" s="82" t="str">
        <f>IFERROR(VLOOKUP(I129,'[1]ABC Master Lists'!$B$2:$I$346,4,FALSE)," ")</f>
        <v xml:space="preserve"> </v>
      </c>
      <c r="K129" s="29" t="str">
        <f>IFERROR(VLOOKUP(I129,'[1]ABC Master Lists'!$B$2:$I$346,8,FALSE)," ")</f>
        <v xml:space="preserve"> </v>
      </c>
      <c r="L129" s="121" t="str">
        <f>IFERROR(VLOOKUP(J129,'[1]ABC Master Lists'!$AQ$2:$AS$12,3,FALSE)," ")</f>
        <v xml:space="preserve"> </v>
      </c>
      <c r="M129" s="121" t="str">
        <f>IFERROR(VLOOKUP(K129,'[1]ABC Master Lists'!$AD$2:$AE$22,2,FALSE), " ")</f>
        <v xml:space="preserve"> </v>
      </c>
    </row>
    <row r="130" spans="4:13" x14ac:dyDescent="0.25">
      <c r="D130" s="26">
        <v>48</v>
      </c>
      <c r="E130" s="24" t="s">
        <v>10</v>
      </c>
      <c r="F130" s="8">
        <v>6</v>
      </c>
      <c r="G130" s="32" t="s">
        <v>7</v>
      </c>
      <c r="H130" s="36" t="s">
        <v>5</v>
      </c>
      <c r="I130" s="36">
        <v>87</v>
      </c>
      <c r="J130" s="79">
        <f>IFERROR(VLOOKUP(I130,'[1]ABC Master Lists'!$B$2:$I$346,4,FALSE)," ")</f>
        <v>4</v>
      </c>
      <c r="K130" s="79">
        <f>IFERROR(VLOOKUP(I130,'[1]ABC Master Lists'!$B$2:$I$346,8,FALSE)," ")</f>
        <v>6</v>
      </c>
      <c r="L130" s="118" t="str">
        <f>IFERROR(VLOOKUP(J130,'[1]ABC Master Lists'!$AQ$2:$AS$12,3,FALSE)," ")</f>
        <v>+</v>
      </c>
      <c r="M130" s="118" t="str">
        <f>IFERROR(VLOOKUP(K130,'[1]ABC Master Lists'!$AD$2:$AE$22,2,FALSE), " ")</f>
        <v>+</v>
      </c>
    </row>
    <row r="131" spans="4:13" x14ac:dyDescent="0.25">
      <c r="E131" s="52" t="s">
        <v>42</v>
      </c>
      <c r="F131" s="8">
        <v>0.5</v>
      </c>
      <c r="G131" s="32" t="s">
        <v>9</v>
      </c>
      <c r="H131" s="36" t="s">
        <v>5</v>
      </c>
      <c r="J131" s="79" t="str">
        <f>IFERROR(VLOOKUP(I131,'[1]ABC Master Lists'!$B$2:$I$346,4,FALSE)," ")</f>
        <v xml:space="preserve"> </v>
      </c>
      <c r="K131" s="79" t="str">
        <f>IFERROR(VLOOKUP(I131,'[1]ABC Master Lists'!$B$2:$I$346,8,FALSE)," ")</f>
        <v xml:space="preserve"> </v>
      </c>
      <c r="L131" s="118" t="str">
        <f>IFERROR(VLOOKUP(J131,'[1]ABC Master Lists'!$AQ$2:$AS$12,3,FALSE)," ")</f>
        <v xml:space="preserve"> </v>
      </c>
      <c r="M131" s="118" t="str">
        <f>IFERROR(VLOOKUP(K131,'[1]ABC Master Lists'!$AD$2:$AE$22,2,FALSE), " ")</f>
        <v xml:space="preserve"> </v>
      </c>
    </row>
    <row r="132" spans="4:13" x14ac:dyDescent="0.25">
      <c r="D132" s="28">
        <v>49</v>
      </c>
      <c r="E132" s="31" t="s">
        <v>10</v>
      </c>
      <c r="F132" s="97">
        <v>8</v>
      </c>
      <c r="G132" s="34" t="s">
        <v>7</v>
      </c>
      <c r="H132" s="38" t="s">
        <v>5</v>
      </c>
      <c r="I132" s="38">
        <v>90</v>
      </c>
      <c r="J132" s="83">
        <f>IFERROR(VLOOKUP(I132,'[1]ABC Master Lists'!$B$2:$I$346,4,FALSE)," ")</f>
        <v>4</v>
      </c>
      <c r="K132" s="28">
        <f>IFERROR(VLOOKUP(I132,'[1]ABC Master Lists'!$B$2:$I$346,8,FALSE)," ")</f>
        <v>6</v>
      </c>
      <c r="L132" s="122" t="str">
        <f>IFERROR(VLOOKUP(J132,'[1]ABC Master Lists'!$AQ$2:$AS$12,3,FALSE)," ")</f>
        <v>+</v>
      </c>
      <c r="M132" s="122" t="str">
        <f>IFERROR(VLOOKUP(K132,'[1]ABC Master Lists'!$AD$2:$AE$22,2,FALSE), " ")</f>
        <v>+</v>
      </c>
    </row>
    <row r="133" spans="4:13" x14ac:dyDescent="0.25">
      <c r="D133" s="29"/>
      <c r="E133" s="99" t="s">
        <v>42</v>
      </c>
      <c r="F133" s="98">
        <v>0.5</v>
      </c>
      <c r="G133" s="35" t="s">
        <v>9</v>
      </c>
      <c r="H133" s="39" t="s">
        <v>5</v>
      </c>
      <c r="I133" s="39"/>
      <c r="J133" s="82" t="str">
        <f>IFERROR(VLOOKUP(I133,'[1]ABC Master Lists'!$B$2:$I$346,4,FALSE)," ")</f>
        <v xml:space="preserve"> </v>
      </c>
      <c r="K133" s="29" t="str">
        <f>IFERROR(VLOOKUP(I133,'[1]ABC Master Lists'!$B$2:$I$346,8,FALSE)," ")</f>
        <v xml:space="preserve"> </v>
      </c>
      <c r="L133" s="121" t="str">
        <f>IFERROR(VLOOKUP(J133,'[1]ABC Master Lists'!$AQ$2:$AS$12,3,FALSE)," ")</f>
        <v xml:space="preserve"> </v>
      </c>
      <c r="M133" s="121" t="str">
        <f>IFERROR(VLOOKUP(K133,'[1]ABC Master Lists'!$AD$2:$AE$22,2,FALSE), " ")</f>
        <v xml:space="preserve"> </v>
      </c>
    </row>
    <row r="134" spans="4:13" x14ac:dyDescent="0.25">
      <c r="D134" s="26">
        <v>50</v>
      </c>
      <c r="E134" s="24" t="s">
        <v>13</v>
      </c>
      <c r="F134" s="10">
        <v>3</v>
      </c>
      <c r="G134" s="32" t="s">
        <v>7</v>
      </c>
      <c r="H134" s="36" t="s">
        <v>5</v>
      </c>
      <c r="I134" s="36">
        <v>156</v>
      </c>
      <c r="J134" s="79">
        <f>IFERROR(VLOOKUP(I134,'[1]ABC Master Lists'!$B$2:$I$346,4,FALSE)," ")</f>
        <v>22</v>
      </c>
      <c r="K134" s="79">
        <f>IFERROR(VLOOKUP(I134,'[1]ABC Master Lists'!$B$2:$I$346,8,FALSE)," ")</f>
        <v>6</v>
      </c>
      <c r="L134" s="118" t="str">
        <f>IFERROR(VLOOKUP(J134,'[1]ABC Master Lists'!$AQ$2:$AS$12,3,FALSE)," ")</f>
        <v>+</v>
      </c>
      <c r="M134" s="118" t="str">
        <f>IFERROR(VLOOKUP(K134,'[1]ABC Master Lists'!$AD$2:$AE$22,2,FALSE), " ")</f>
        <v>+</v>
      </c>
    </row>
    <row r="135" spans="4:13" x14ac:dyDescent="0.25">
      <c r="E135" s="52" t="s">
        <v>8</v>
      </c>
      <c r="F135" s="8">
        <v>0.5</v>
      </c>
      <c r="G135" s="32" t="s">
        <v>9</v>
      </c>
      <c r="H135" s="36" t="s">
        <v>5</v>
      </c>
      <c r="J135" s="79" t="str">
        <f>IFERROR(VLOOKUP(I135,'[1]ABC Master Lists'!$B$2:$I$346,4,FALSE)," ")</f>
        <v xml:space="preserve"> </v>
      </c>
      <c r="K135" s="79" t="str">
        <f>IFERROR(VLOOKUP(I135,'[1]ABC Master Lists'!$B$2:$I$346,8,FALSE)," ")</f>
        <v xml:space="preserve"> </v>
      </c>
      <c r="L135" s="118" t="str">
        <f>IFERROR(VLOOKUP(J135,'[1]ABC Master Lists'!$AQ$2:$AS$12,3,FALSE)," ")</f>
        <v xml:space="preserve"> </v>
      </c>
      <c r="M135" s="118" t="str">
        <f>IFERROR(VLOOKUP(K135,'[1]ABC Master Lists'!$AD$2:$AE$22,2,FALSE), " ")</f>
        <v xml:space="preserve"> </v>
      </c>
    </row>
    <row r="136" spans="4:13" x14ac:dyDescent="0.25">
      <c r="D136" s="28">
        <v>51</v>
      </c>
      <c r="E136" s="101" t="s">
        <v>18</v>
      </c>
      <c r="F136" s="97">
        <v>6</v>
      </c>
      <c r="G136" s="34" t="s">
        <v>7</v>
      </c>
      <c r="H136" s="38" t="s">
        <v>5</v>
      </c>
      <c r="I136" s="38">
        <v>52</v>
      </c>
      <c r="J136" s="83">
        <f>IFERROR(VLOOKUP(I136,'[1]ABC Master Lists'!$B$2:$I$346,4,FALSE)," ")</f>
        <v>18</v>
      </c>
      <c r="K136" s="28">
        <f>IFERROR(VLOOKUP(I136,'[1]ABC Master Lists'!$B$2:$I$346,8,FALSE)," ")</f>
        <v>6</v>
      </c>
      <c r="L136" s="122" t="str">
        <f>IFERROR(VLOOKUP(J136,'[1]ABC Master Lists'!$AQ$2:$AS$12,3,FALSE)," ")</f>
        <v>+</v>
      </c>
      <c r="M136" s="122" t="str">
        <f>IFERROR(VLOOKUP(K136,'[1]ABC Master Lists'!$AD$2:$AE$22,2,FALSE), " ")</f>
        <v>+</v>
      </c>
    </row>
    <row r="137" spans="4:13" x14ac:dyDescent="0.25">
      <c r="D137" s="29"/>
      <c r="E137" s="102" t="s">
        <v>19</v>
      </c>
      <c r="F137" s="98">
        <v>0.5</v>
      </c>
      <c r="G137" s="35" t="s">
        <v>9</v>
      </c>
      <c r="H137" s="39" t="s">
        <v>5</v>
      </c>
      <c r="I137" s="39"/>
      <c r="J137" s="82" t="str">
        <f>IFERROR(VLOOKUP(I137,'[1]ABC Master Lists'!$B$2:$I$346,4,FALSE)," ")</f>
        <v xml:space="preserve"> </v>
      </c>
      <c r="K137" s="29" t="str">
        <f>IFERROR(VLOOKUP(I137,'[1]ABC Master Lists'!$B$2:$I$346,8,FALSE)," ")</f>
        <v xml:space="preserve"> </v>
      </c>
      <c r="L137" s="121" t="str">
        <f>IFERROR(VLOOKUP(J137,'[1]ABC Master Lists'!$AQ$2:$AS$12,3,FALSE)," ")</f>
        <v xml:space="preserve"> </v>
      </c>
      <c r="M137" s="121" t="str">
        <f>IFERROR(VLOOKUP(K137,'[1]ABC Master Lists'!$AD$2:$AE$22,2,FALSE), " ")</f>
        <v xml:space="preserve"> </v>
      </c>
    </row>
    <row r="138" spans="4:13" x14ac:dyDescent="0.25">
      <c r="D138" s="28">
        <v>52</v>
      </c>
      <c r="E138" s="103" t="s">
        <v>10</v>
      </c>
      <c r="F138" s="97">
        <v>6</v>
      </c>
      <c r="G138" s="34" t="s">
        <v>7</v>
      </c>
      <c r="H138" s="38" t="s">
        <v>5</v>
      </c>
      <c r="I138" s="38">
        <v>98</v>
      </c>
      <c r="J138" s="83">
        <f>IFERROR(VLOOKUP(I138,'[1]ABC Master Lists'!$B$2:$I$346,4,FALSE)," ")</f>
        <v>4</v>
      </c>
      <c r="K138" s="28">
        <f>IFERROR(VLOOKUP(I138,'[1]ABC Master Lists'!$B$2:$I$346,8,FALSE)," ")</f>
        <v>68</v>
      </c>
      <c r="L138" s="118" t="str">
        <f>IFERROR(VLOOKUP(J138,'[1]ABC Master Lists'!$AQ$2:$AS$12,3,FALSE)," ")</f>
        <v>+</v>
      </c>
      <c r="M138" s="118" t="str">
        <f>IFERROR(VLOOKUP(K138,'[1]ABC Master Lists'!$AD$2:$AE$22,2,FALSE), " ")</f>
        <v>+</v>
      </c>
    </row>
    <row r="139" spans="4:13" x14ac:dyDescent="0.25">
      <c r="E139" s="53" t="s">
        <v>43</v>
      </c>
      <c r="F139" s="8">
        <v>0.5</v>
      </c>
      <c r="G139" s="32" t="s">
        <v>9</v>
      </c>
      <c r="H139" s="36" t="s">
        <v>5</v>
      </c>
      <c r="J139" s="79" t="str">
        <f>IFERROR(VLOOKUP(I139,'[1]ABC Master Lists'!$B$2:$I$346,4,FALSE)," ")</f>
        <v xml:space="preserve"> </v>
      </c>
      <c r="K139" s="26" t="str">
        <f>IFERROR(VLOOKUP(I139,'[1]ABC Master Lists'!$B$2:$I$346,8,FALSE)," ")</f>
        <v xml:space="preserve"> </v>
      </c>
      <c r="L139" s="118" t="str">
        <f>IFERROR(VLOOKUP(J139,'[1]ABC Master Lists'!$AQ$2:$AS$12,3,FALSE)," ")</f>
        <v xml:space="preserve"> </v>
      </c>
      <c r="M139" s="118" t="str">
        <f>IFERROR(VLOOKUP(K139,'[1]ABC Master Lists'!$AD$2:$AE$22,2,FALSE), " ")</f>
        <v xml:space="preserve"> </v>
      </c>
    </row>
    <row r="140" spans="4:13" x14ac:dyDescent="0.25">
      <c r="E140" s="53" t="s">
        <v>10</v>
      </c>
      <c r="F140" s="8">
        <v>6</v>
      </c>
      <c r="G140" s="32" t="s">
        <v>7</v>
      </c>
      <c r="H140" s="36" t="s">
        <v>20</v>
      </c>
      <c r="J140" s="79" t="str">
        <f>IFERROR(VLOOKUP(I140,'[1]ABC Master Lists'!$B$2:$I$346,4,FALSE)," ")</f>
        <v xml:space="preserve"> </v>
      </c>
      <c r="K140" s="26" t="str">
        <f>IFERROR(VLOOKUP(I140,'[1]ABC Master Lists'!$B$2:$I$346,8,FALSE)," ")</f>
        <v xml:space="preserve"> </v>
      </c>
      <c r="L140" s="118" t="str">
        <f>IFERROR(VLOOKUP(J140,'[1]ABC Master Lists'!$AQ$2:$AS$12,3,FALSE)," ")</f>
        <v xml:space="preserve"> </v>
      </c>
      <c r="M140" s="118" t="str">
        <f>IFERROR(VLOOKUP(K140,'[1]ABC Master Lists'!$AD$2:$AE$22,2,FALSE), " ")</f>
        <v xml:space="preserve"> </v>
      </c>
    </row>
    <row r="141" spans="4:13" x14ac:dyDescent="0.25">
      <c r="D141" s="29"/>
      <c r="E141" s="104" t="s">
        <v>43</v>
      </c>
      <c r="F141" s="98">
        <v>0.5</v>
      </c>
      <c r="G141" s="35" t="s">
        <v>9</v>
      </c>
      <c r="H141" s="39" t="s">
        <v>20</v>
      </c>
      <c r="I141" s="39"/>
      <c r="J141" s="82" t="str">
        <f>IFERROR(VLOOKUP(I141,'[1]ABC Master Lists'!$B$2:$I$346,4,FALSE)," ")</f>
        <v xml:space="preserve"> </v>
      </c>
      <c r="K141" s="29" t="str">
        <f>IFERROR(VLOOKUP(I141,'[1]ABC Master Lists'!$B$2:$I$346,8,FALSE)," ")</f>
        <v xml:space="preserve"> </v>
      </c>
      <c r="L141" s="118" t="str">
        <f>IFERROR(VLOOKUP(J141,'[1]ABC Master Lists'!$AQ$2:$AS$12,3,FALSE)," ")</f>
        <v xml:space="preserve"> </v>
      </c>
      <c r="M141" s="118" t="str">
        <f>IFERROR(VLOOKUP(K141,'[1]ABC Master Lists'!$AD$2:$AE$22,2,FALSE), " ")</f>
        <v xml:space="preserve"> </v>
      </c>
    </row>
    <row r="142" spans="4:13" x14ac:dyDescent="0.25">
      <c r="D142" s="28">
        <v>53</v>
      </c>
      <c r="E142" s="103" t="s">
        <v>10</v>
      </c>
      <c r="F142" s="105">
        <v>6</v>
      </c>
      <c r="G142" s="34" t="s">
        <v>7</v>
      </c>
      <c r="H142" s="38" t="s">
        <v>5</v>
      </c>
      <c r="I142" s="38">
        <v>104</v>
      </c>
      <c r="J142" s="83">
        <f>IFERROR(VLOOKUP(I142,'[1]ABC Master Lists'!$B$2:$I$346,4,FALSE)," ")</f>
        <v>41624</v>
      </c>
      <c r="K142" s="28">
        <f>IFERROR(VLOOKUP(I142,'[1]ABC Master Lists'!$B$2:$I$346,8,FALSE)," ")</f>
        <v>68</v>
      </c>
      <c r="L142" s="122" t="str">
        <f>IFERROR(VLOOKUP(J142,'[1]ABC Master Lists'!$AQ$2:$AS$12,3,FALSE)," ")</f>
        <v>+</v>
      </c>
      <c r="M142" s="122" t="str">
        <f>IFERROR(VLOOKUP(K142,'[1]ABC Master Lists'!$AD$2:$AE$22,2,FALSE), " ")</f>
        <v>+</v>
      </c>
    </row>
    <row r="143" spans="4:13" x14ac:dyDescent="0.25">
      <c r="E143" s="53" t="s">
        <v>43</v>
      </c>
      <c r="F143" s="8">
        <v>0.5</v>
      </c>
      <c r="G143" s="32" t="s">
        <v>9</v>
      </c>
      <c r="H143" s="36" t="s">
        <v>5</v>
      </c>
      <c r="J143" s="79" t="str">
        <f>IFERROR(VLOOKUP(I143,'[1]ABC Master Lists'!$B$2:$I$346,4,FALSE)," ")</f>
        <v xml:space="preserve"> </v>
      </c>
      <c r="K143" s="26" t="str">
        <f>IFERROR(VLOOKUP(I143,'[1]ABC Master Lists'!$B$2:$I$346,8,FALSE)," ")</f>
        <v xml:space="preserve"> </v>
      </c>
      <c r="L143" s="118" t="str">
        <f>IFERROR(VLOOKUP(J143,'[1]ABC Master Lists'!$AQ$2:$AS$12,3,FALSE)," ")</f>
        <v xml:space="preserve"> </v>
      </c>
      <c r="M143" s="118" t="str">
        <f>IFERROR(VLOOKUP(K143,'[1]ABC Master Lists'!$AD$2:$AE$22,2,FALSE), " ")</f>
        <v xml:space="preserve"> </v>
      </c>
    </row>
    <row r="144" spans="4:13" x14ac:dyDescent="0.25">
      <c r="E144" s="53" t="s">
        <v>10</v>
      </c>
      <c r="F144" s="11">
        <v>6</v>
      </c>
      <c r="G144" s="32" t="s">
        <v>7</v>
      </c>
      <c r="H144" s="36" t="s">
        <v>20</v>
      </c>
      <c r="J144" s="79" t="str">
        <f>IFERROR(VLOOKUP(I144,'[1]ABC Master Lists'!$B$2:$I$346,4,FALSE)," ")</f>
        <v xml:space="preserve"> </v>
      </c>
      <c r="K144" s="26" t="str">
        <f>IFERROR(VLOOKUP(I144,'[1]ABC Master Lists'!$B$2:$I$346,8,FALSE)," ")</f>
        <v xml:space="preserve"> </v>
      </c>
      <c r="L144" s="118" t="str">
        <f>IFERROR(VLOOKUP(J144,'[1]ABC Master Lists'!$AQ$2:$AS$12,3,FALSE)," ")</f>
        <v xml:space="preserve"> </v>
      </c>
      <c r="M144" s="118" t="str">
        <f>IFERROR(VLOOKUP(K144,'[1]ABC Master Lists'!$AD$2:$AE$22,2,FALSE), " ")</f>
        <v xml:space="preserve"> </v>
      </c>
    </row>
    <row r="145" spans="4:13" x14ac:dyDescent="0.25">
      <c r="E145" s="53" t="s">
        <v>43</v>
      </c>
      <c r="F145" s="8">
        <v>0.5</v>
      </c>
      <c r="G145" s="32" t="s">
        <v>9</v>
      </c>
      <c r="H145" s="36" t="s">
        <v>20</v>
      </c>
      <c r="J145" s="79" t="str">
        <f>IFERROR(VLOOKUP(I145,'[1]ABC Master Lists'!$B$2:$I$346,4,FALSE)," ")</f>
        <v xml:space="preserve"> </v>
      </c>
      <c r="K145" s="26" t="str">
        <f>IFERROR(VLOOKUP(I145,'[1]ABC Master Lists'!$B$2:$I$346,8,FALSE)," ")</f>
        <v xml:space="preserve"> </v>
      </c>
      <c r="L145" s="118" t="str">
        <f>IFERROR(VLOOKUP(J145,'[1]ABC Master Lists'!$AQ$2:$AS$12,3,FALSE)," ")</f>
        <v xml:space="preserve"> </v>
      </c>
      <c r="M145" s="118" t="str">
        <f>IFERROR(VLOOKUP(K145,'[1]ABC Master Lists'!$AD$2:$AE$22,2,FALSE), " ")</f>
        <v xml:space="preserve"> </v>
      </c>
    </row>
    <row r="146" spans="4:13" x14ac:dyDescent="0.25">
      <c r="D146" s="29"/>
      <c r="E146" s="104" t="s">
        <v>44</v>
      </c>
      <c r="F146" s="106">
        <v>4</v>
      </c>
      <c r="G146" s="35" t="s">
        <v>7</v>
      </c>
      <c r="H146" s="39" t="s">
        <v>20</v>
      </c>
      <c r="I146" s="39"/>
      <c r="J146" s="82" t="str">
        <f>IFERROR(VLOOKUP(I146,'[1]ABC Master Lists'!$B$2:$I$346,4,FALSE)," ")</f>
        <v xml:space="preserve"> </v>
      </c>
      <c r="K146" s="29" t="str">
        <f>IFERROR(VLOOKUP(I146,'[1]ABC Master Lists'!$B$2:$I$346,8,FALSE)," ")</f>
        <v xml:space="preserve"> </v>
      </c>
      <c r="L146" s="121" t="str">
        <f>IFERROR(VLOOKUP(J146,'[1]ABC Master Lists'!$AQ$2:$AS$12,3,FALSE)," ")</f>
        <v xml:space="preserve"> </v>
      </c>
      <c r="M146" s="121" t="str">
        <f>IFERROR(VLOOKUP(K146,'[1]ABC Master Lists'!$AD$2:$AE$22,2,FALSE), " ")</f>
        <v xml:space="preserve"> </v>
      </c>
    </row>
    <row r="147" spans="4:13" x14ac:dyDescent="0.25">
      <c r="D147" s="54">
        <v>54</v>
      </c>
      <c r="E147" s="55" t="s">
        <v>6</v>
      </c>
      <c r="F147" s="12">
        <v>11.2</v>
      </c>
      <c r="G147" s="56" t="s">
        <v>7</v>
      </c>
      <c r="H147" s="36" t="s">
        <v>5</v>
      </c>
      <c r="I147" s="36">
        <v>25</v>
      </c>
      <c r="J147" s="79">
        <f>IFERROR(VLOOKUP(I147,'[1]ABC Master Lists'!$B$2:$I$346,4,FALSE)," ")</f>
        <v>20</v>
      </c>
      <c r="K147" s="79">
        <f>IFERROR(VLOOKUP(I147,'[1]ABC Master Lists'!$B$2:$I$346,8,FALSE)," ")</f>
        <v>68</v>
      </c>
      <c r="L147" s="118" t="str">
        <f>IFERROR(VLOOKUP(J147,'[1]ABC Master Lists'!$AQ$2:$AS$12,3,FALSE)," ")</f>
        <v>+</v>
      </c>
      <c r="M147" s="118" t="str">
        <f>IFERROR(VLOOKUP(K147,'[1]ABC Master Lists'!$AD$2:$AE$22,2,FALSE), " ")</f>
        <v>+</v>
      </c>
    </row>
    <row r="148" spans="4:13" x14ac:dyDescent="0.25">
      <c r="D148" s="54"/>
      <c r="E148" s="55" t="s">
        <v>6</v>
      </c>
      <c r="F148" s="12">
        <v>11.2</v>
      </c>
      <c r="G148" s="56" t="s">
        <v>7</v>
      </c>
      <c r="H148" s="36" t="s">
        <v>20</v>
      </c>
      <c r="J148" s="79" t="str">
        <f>IFERROR(VLOOKUP(I148,'[1]ABC Master Lists'!$B$2:$I$346,4,FALSE)," ")</f>
        <v xml:space="preserve"> </v>
      </c>
      <c r="K148" s="79" t="str">
        <f>IFERROR(VLOOKUP(I148,'[1]ABC Master Lists'!$B$2:$I$346,8,FALSE)," ")</f>
        <v xml:space="preserve"> </v>
      </c>
      <c r="L148" s="118" t="str">
        <f>IFERROR(VLOOKUP(J148,'[1]ABC Master Lists'!$AQ$2:$AS$12,3,FALSE)," ")</f>
        <v xml:space="preserve"> </v>
      </c>
      <c r="M148" s="118" t="str">
        <f>IFERROR(VLOOKUP(K148,'[1]ABC Master Lists'!$AD$2:$AE$22,2,FALSE), " ")</f>
        <v xml:space="preserve"> </v>
      </c>
    </row>
    <row r="149" spans="4:13" x14ac:dyDescent="0.25">
      <c r="D149" s="107">
        <v>55</v>
      </c>
      <c r="E149" s="108" t="s">
        <v>6</v>
      </c>
      <c r="F149" s="109">
        <v>11.2</v>
      </c>
      <c r="G149" s="110" t="s">
        <v>7</v>
      </c>
      <c r="H149" s="38" t="s">
        <v>5</v>
      </c>
      <c r="I149" s="38">
        <v>25</v>
      </c>
      <c r="J149" s="83">
        <f>IFERROR(VLOOKUP(I149,'[1]ABC Master Lists'!$B$2:$I$346,4,FALSE)," ")</f>
        <v>20</v>
      </c>
      <c r="K149" s="28">
        <f>IFERROR(VLOOKUP(I149,'[1]ABC Master Lists'!$B$2:$I$346,8,FALSE)," ")</f>
        <v>68</v>
      </c>
      <c r="L149" s="122" t="str">
        <f>IFERROR(VLOOKUP(J149,'[1]ABC Master Lists'!$AQ$2:$AS$12,3,FALSE)," ")</f>
        <v>+</v>
      </c>
      <c r="M149" s="122" t="str">
        <f>IFERROR(VLOOKUP(K149,'[1]ABC Master Lists'!$AD$2:$AE$22,2,FALSE), " ")</f>
        <v>+</v>
      </c>
    </row>
    <row r="150" spans="4:13" x14ac:dyDescent="0.25">
      <c r="D150" s="54"/>
      <c r="E150" s="57" t="s">
        <v>45</v>
      </c>
      <c r="F150" s="12">
        <v>0.3</v>
      </c>
      <c r="G150" s="56" t="s">
        <v>9</v>
      </c>
      <c r="H150" s="36" t="s">
        <v>5</v>
      </c>
      <c r="J150" s="79" t="str">
        <f>IFERROR(VLOOKUP(I150,'[1]ABC Master Lists'!$B$2:$I$346,4,FALSE)," ")</f>
        <v xml:space="preserve"> </v>
      </c>
      <c r="K150" s="26" t="str">
        <f>IFERROR(VLOOKUP(I150,'[1]ABC Master Lists'!$B$2:$I$346,8,FALSE)," ")</f>
        <v xml:space="preserve"> </v>
      </c>
      <c r="L150" s="118" t="str">
        <f>IFERROR(VLOOKUP(J150,'[1]ABC Master Lists'!$AQ$2:$AS$12,3,FALSE)," ")</f>
        <v xml:space="preserve"> </v>
      </c>
      <c r="M150" s="118" t="str">
        <f>IFERROR(VLOOKUP(K150,'[1]ABC Master Lists'!$AD$2:$AE$22,2,FALSE), " ")</f>
        <v xml:space="preserve"> </v>
      </c>
    </row>
    <row r="151" spans="4:13" x14ac:dyDescent="0.25">
      <c r="D151" s="54"/>
      <c r="E151" s="55" t="s">
        <v>6</v>
      </c>
      <c r="F151" s="12">
        <v>11.2</v>
      </c>
      <c r="G151" s="56" t="s">
        <v>7</v>
      </c>
      <c r="H151" s="36" t="s">
        <v>20</v>
      </c>
      <c r="J151" s="79" t="str">
        <f>IFERROR(VLOOKUP(I151,'[1]ABC Master Lists'!$B$2:$I$346,4,FALSE)," ")</f>
        <v xml:space="preserve"> </v>
      </c>
      <c r="K151" s="26" t="str">
        <f>IFERROR(VLOOKUP(I151,'[1]ABC Master Lists'!$B$2:$I$346,8,FALSE)," ")</f>
        <v xml:space="preserve"> </v>
      </c>
      <c r="L151" s="118" t="str">
        <f>IFERROR(VLOOKUP(J151,'[1]ABC Master Lists'!$AQ$2:$AS$12,3,FALSE)," ")</f>
        <v xml:space="preserve"> </v>
      </c>
      <c r="M151" s="118" t="str">
        <f>IFERROR(VLOOKUP(K151,'[1]ABC Master Lists'!$AD$2:$AE$22,2,FALSE), " ")</f>
        <v xml:space="preserve"> </v>
      </c>
    </row>
    <row r="152" spans="4:13" x14ac:dyDescent="0.25">
      <c r="D152" s="111"/>
      <c r="E152" s="112" t="s">
        <v>45</v>
      </c>
      <c r="F152" s="113">
        <v>0.3</v>
      </c>
      <c r="G152" s="114" t="s">
        <v>9</v>
      </c>
      <c r="H152" s="39" t="s">
        <v>20</v>
      </c>
      <c r="I152" s="39"/>
      <c r="J152" s="82" t="str">
        <f>IFERROR(VLOOKUP(I152,'[1]ABC Master Lists'!$B$2:$I$346,4,FALSE)," ")</f>
        <v xml:space="preserve"> </v>
      </c>
      <c r="K152" s="29" t="str">
        <f>IFERROR(VLOOKUP(I152,'[1]ABC Master Lists'!$B$2:$I$346,8,FALSE)," ")</f>
        <v xml:space="preserve"> </v>
      </c>
      <c r="L152" s="121" t="str">
        <f>IFERROR(VLOOKUP(J152,'[1]ABC Master Lists'!$AQ$2:$AS$12,3,FALSE)," ")</f>
        <v xml:space="preserve"> </v>
      </c>
      <c r="M152" s="121" t="str">
        <f>IFERROR(VLOOKUP(K152,'[1]ABC Master Lists'!$AD$2:$AE$22,2,FALSE), " ")</f>
        <v xml:space="preserve"> </v>
      </c>
    </row>
    <row r="153" spans="4:13" x14ac:dyDescent="0.25">
      <c r="D153" s="54">
        <v>56</v>
      </c>
      <c r="E153" s="55" t="s">
        <v>6</v>
      </c>
      <c r="F153" s="12">
        <v>13.9</v>
      </c>
      <c r="G153" s="56" t="s">
        <v>7</v>
      </c>
      <c r="H153" s="36" t="s">
        <v>5</v>
      </c>
      <c r="I153" s="36">
        <v>27</v>
      </c>
      <c r="J153" s="79">
        <f>IFERROR(VLOOKUP(I153,'[1]ABC Master Lists'!$B$2:$I$346,4,FALSE)," ")</f>
        <v>20</v>
      </c>
      <c r="K153" s="79">
        <f>IFERROR(VLOOKUP(I153,'[1]ABC Master Lists'!$B$2:$I$346,8,FALSE)," ")</f>
        <v>68</v>
      </c>
      <c r="L153" s="118" t="str">
        <f>IFERROR(VLOOKUP(J153,'[1]ABC Master Lists'!$AQ$2:$AS$12,3,FALSE)," ")</f>
        <v>+</v>
      </c>
      <c r="M153" s="118" t="str">
        <f>IFERROR(VLOOKUP(K153,'[1]ABC Master Lists'!$AD$2:$AE$22,2,FALSE), " ")</f>
        <v>+</v>
      </c>
    </row>
    <row r="154" spans="4:13" x14ac:dyDescent="0.25">
      <c r="D154" s="54"/>
      <c r="E154" s="55" t="s">
        <v>6</v>
      </c>
      <c r="F154" s="12">
        <v>13.9</v>
      </c>
      <c r="G154" s="56" t="s">
        <v>7</v>
      </c>
      <c r="H154" s="36" t="s">
        <v>20</v>
      </c>
      <c r="J154" s="79" t="str">
        <f>IFERROR(VLOOKUP(I154,'[1]ABC Master Lists'!$B$2:$I$346,4,FALSE)," ")</f>
        <v xml:space="preserve"> </v>
      </c>
      <c r="K154" s="79" t="str">
        <f>IFERROR(VLOOKUP(I154,'[1]ABC Master Lists'!$B$2:$I$346,8,FALSE)," ")</f>
        <v xml:space="preserve"> </v>
      </c>
      <c r="L154" s="118" t="str">
        <f>IFERROR(VLOOKUP(J154,'[1]ABC Master Lists'!$AQ$2:$AS$12,3,FALSE)," ")</f>
        <v xml:space="preserve"> </v>
      </c>
      <c r="M154" s="118" t="str">
        <f>IFERROR(VLOOKUP(K154,'[1]ABC Master Lists'!$AD$2:$AE$22,2,FALSE), " ")</f>
        <v xml:space="preserve"> </v>
      </c>
    </row>
    <row r="155" spans="4:13" x14ac:dyDescent="0.25">
      <c r="D155" s="107">
        <v>57</v>
      </c>
      <c r="E155" s="108" t="s">
        <v>6</v>
      </c>
      <c r="F155" s="109">
        <v>13.9</v>
      </c>
      <c r="G155" s="110" t="s">
        <v>7</v>
      </c>
      <c r="H155" s="38" t="s">
        <v>5</v>
      </c>
      <c r="I155" s="38">
        <v>27</v>
      </c>
      <c r="J155" s="83">
        <f>IFERROR(VLOOKUP(I155,'[1]ABC Master Lists'!$B$2:$I$346,4,FALSE)," ")</f>
        <v>20</v>
      </c>
      <c r="K155" s="28">
        <f>IFERROR(VLOOKUP(I155,'[1]ABC Master Lists'!$B$2:$I$346,8,FALSE)," ")</f>
        <v>68</v>
      </c>
      <c r="L155" s="122" t="str">
        <f>IFERROR(VLOOKUP(J155,'[1]ABC Master Lists'!$AQ$2:$AS$12,3,FALSE)," ")</f>
        <v>+</v>
      </c>
      <c r="M155" s="122" t="str">
        <f>IFERROR(VLOOKUP(K155,'[1]ABC Master Lists'!$AD$2:$AE$22,2,FALSE), " ")</f>
        <v>+</v>
      </c>
    </row>
    <row r="156" spans="4:13" x14ac:dyDescent="0.25">
      <c r="D156" s="54"/>
      <c r="E156" s="58" t="s">
        <v>45</v>
      </c>
      <c r="F156" s="12">
        <v>0.3</v>
      </c>
      <c r="G156" s="59" t="s">
        <v>9</v>
      </c>
      <c r="H156" s="36" t="s">
        <v>5</v>
      </c>
      <c r="J156" s="79" t="str">
        <f>IFERROR(VLOOKUP(I156,'[1]ABC Master Lists'!$B$2:$I$346,4,FALSE)," ")</f>
        <v xml:space="preserve"> </v>
      </c>
      <c r="K156" s="26" t="str">
        <f>IFERROR(VLOOKUP(I156,'[1]ABC Master Lists'!$B$2:$I$346,8,FALSE)," ")</f>
        <v xml:space="preserve"> </v>
      </c>
      <c r="L156" s="118" t="str">
        <f>IFERROR(VLOOKUP(J156,'[1]ABC Master Lists'!$AQ$2:$AS$12,3,FALSE)," ")</f>
        <v xml:space="preserve"> </v>
      </c>
      <c r="M156" s="118" t="str">
        <f>IFERROR(VLOOKUP(K156,'[1]ABC Master Lists'!$AD$2:$AE$22,2,FALSE), " ")</f>
        <v xml:space="preserve"> </v>
      </c>
    </row>
    <row r="157" spans="4:13" x14ac:dyDescent="0.25">
      <c r="D157" s="54"/>
      <c r="E157" s="55" t="s">
        <v>6</v>
      </c>
      <c r="F157" s="12">
        <v>13.9</v>
      </c>
      <c r="G157" s="56" t="s">
        <v>7</v>
      </c>
      <c r="H157" s="36" t="s">
        <v>20</v>
      </c>
      <c r="J157" s="79" t="str">
        <f>IFERROR(VLOOKUP(I157,'[1]ABC Master Lists'!$B$2:$I$346,4,FALSE)," ")</f>
        <v xml:space="preserve"> </v>
      </c>
      <c r="K157" s="26" t="str">
        <f>IFERROR(VLOOKUP(I157,'[1]ABC Master Lists'!$B$2:$I$346,8,FALSE)," ")</f>
        <v xml:space="preserve"> </v>
      </c>
      <c r="L157" s="118" t="str">
        <f>IFERROR(VLOOKUP(J157,'[1]ABC Master Lists'!$AQ$2:$AS$12,3,FALSE)," ")</f>
        <v xml:space="preserve"> </v>
      </c>
      <c r="M157" s="118" t="str">
        <f>IFERROR(VLOOKUP(K157,'[1]ABC Master Lists'!$AD$2:$AE$22,2,FALSE), " ")</f>
        <v xml:space="preserve"> </v>
      </c>
    </row>
    <row r="158" spans="4:13" x14ac:dyDescent="0.25">
      <c r="D158" s="111"/>
      <c r="E158" s="115" t="s">
        <v>45</v>
      </c>
      <c r="F158" s="113">
        <v>0.3</v>
      </c>
      <c r="G158" s="116" t="s">
        <v>9</v>
      </c>
      <c r="H158" s="39" t="s">
        <v>20</v>
      </c>
      <c r="I158" s="39"/>
      <c r="J158" s="82" t="str">
        <f>IFERROR(VLOOKUP(I158,'[1]ABC Master Lists'!$B$2:$I$346,4,FALSE)," ")</f>
        <v xml:space="preserve"> </v>
      </c>
      <c r="K158" s="29" t="str">
        <f>IFERROR(VLOOKUP(I158,'[1]ABC Master Lists'!$B$2:$I$346,8,FALSE)," ")</f>
        <v xml:space="preserve"> </v>
      </c>
      <c r="L158" s="121" t="str">
        <f>IFERROR(VLOOKUP(J158,'[1]ABC Master Lists'!$AQ$2:$AS$12,3,FALSE)," ")</f>
        <v xml:space="preserve"> </v>
      </c>
      <c r="M158" s="121" t="str">
        <f>IFERROR(VLOOKUP(K158,'[1]ABC Master Lists'!$AD$2:$AE$22,2,FALSE), " ")</f>
        <v xml:space="preserve"> </v>
      </c>
    </row>
    <row r="159" spans="4:13" x14ac:dyDescent="0.25">
      <c r="D159" s="54">
        <v>58</v>
      </c>
      <c r="E159" s="55" t="s">
        <v>6</v>
      </c>
      <c r="F159" s="12">
        <v>16.5</v>
      </c>
      <c r="G159" s="56" t="s">
        <v>7</v>
      </c>
      <c r="H159" s="36" t="s">
        <v>5</v>
      </c>
      <c r="I159" s="36">
        <v>29</v>
      </c>
      <c r="J159" s="79">
        <f>IFERROR(VLOOKUP(I159,'[1]ABC Master Lists'!$B$2:$I$346,4,FALSE)," ")</f>
        <v>20</v>
      </c>
      <c r="K159" s="79">
        <f>IFERROR(VLOOKUP(I159,'[1]ABC Master Lists'!$B$2:$I$346,8,FALSE)," ")</f>
        <v>6</v>
      </c>
      <c r="L159" s="118" t="str">
        <f>IFERROR(VLOOKUP(J159,'[1]ABC Master Lists'!$AQ$2:$AS$12,3,FALSE)," ")</f>
        <v>+</v>
      </c>
      <c r="M159" s="118" t="str">
        <f>IFERROR(VLOOKUP(K159,'[1]ABC Master Lists'!$AD$2:$AE$22,2,FALSE), " ")</f>
        <v>+</v>
      </c>
    </row>
    <row r="160" spans="4:13" x14ac:dyDescent="0.25">
      <c r="D160" s="54"/>
      <c r="E160" s="55" t="s">
        <v>6</v>
      </c>
      <c r="F160" s="12">
        <v>16.5</v>
      </c>
      <c r="G160" s="56" t="s">
        <v>7</v>
      </c>
      <c r="H160" s="36" t="s">
        <v>20</v>
      </c>
      <c r="J160" s="79" t="str">
        <f>IFERROR(VLOOKUP(I160,'[1]ABC Master Lists'!$B$2:$I$346,4,FALSE)," ")</f>
        <v xml:space="preserve"> </v>
      </c>
      <c r="K160" s="79" t="str">
        <f>IFERROR(VLOOKUP(I160,'[1]ABC Master Lists'!$B$2:$I$346,8,FALSE)," ")</f>
        <v xml:space="preserve"> </v>
      </c>
      <c r="L160" s="118" t="str">
        <f>IFERROR(VLOOKUP(J160,'[1]ABC Master Lists'!$AQ$2:$AS$12,3,FALSE)," ")</f>
        <v xml:space="preserve"> </v>
      </c>
      <c r="M160" s="118" t="str">
        <f>IFERROR(VLOOKUP(K160,'[1]ABC Master Lists'!$AD$2:$AE$22,2,FALSE), " ")</f>
        <v xml:space="preserve"> </v>
      </c>
    </row>
    <row r="161" spans="1:13" x14ac:dyDescent="0.25">
      <c r="D161" s="107">
        <v>62</v>
      </c>
      <c r="E161" s="108" t="s">
        <v>6</v>
      </c>
      <c r="F161" s="109">
        <v>13.9</v>
      </c>
      <c r="G161" s="110" t="s">
        <v>7</v>
      </c>
      <c r="H161" s="38" t="s">
        <v>5</v>
      </c>
      <c r="I161" s="38">
        <v>27</v>
      </c>
      <c r="J161" s="83">
        <f>IFERROR(VLOOKUP(I161,'[1]ABC Master Lists'!$B$2:$I$346,4,FALSE)," ")</f>
        <v>20</v>
      </c>
      <c r="K161" s="28">
        <f>IFERROR(VLOOKUP(I161,'[1]ABC Master Lists'!$B$2:$I$346,8,FALSE)," ")</f>
        <v>68</v>
      </c>
      <c r="L161" s="122" t="str">
        <f>IFERROR(VLOOKUP(J161,'[1]ABC Master Lists'!$AQ$2:$AS$12,3,FALSE)," ")</f>
        <v>+</v>
      </c>
      <c r="M161" s="122" t="str">
        <f>IFERROR(VLOOKUP(K161,'[1]ABC Master Lists'!$AD$2:$AE$22,2,FALSE), " ")</f>
        <v>+</v>
      </c>
    </row>
    <row r="162" spans="1:13" x14ac:dyDescent="0.25">
      <c r="D162" s="54"/>
      <c r="E162" s="58" t="s">
        <v>8</v>
      </c>
      <c r="F162" s="12">
        <v>0.25</v>
      </c>
      <c r="G162" s="59" t="s">
        <v>9</v>
      </c>
      <c r="H162" s="36" t="s">
        <v>5</v>
      </c>
      <c r="J162" s="79" t="str">
        <f>IFERROR(VLOOKUP(I162,'[1]ABC Master Lists'!$B$2:$I$346,4,FALSE)," ")</f>
        <v xml:space="preserve"> </v>
      </c>
      <c r="K162" s="26" t="str">
        <f>IFERROR(VLOOKUP(I162,'[1]ABC Master Lists'!$B$2:$I$346,8,FALSE)," ")</f>
        <v xml:space="preserve"> </v>
      </c>
      <c r="L162" s="118" t="str">
        <f>IFERROR(VLOOKUP(J162,'[1]ABC Master Lists'!$AQ$2:$AS$12,3,FALSE)," ")</f>
        <v xml:space="preserve"> </v>
      </c>
      <c r="M162" s="118" t="str">
        <f>IFERROR(VLOOKUP(K162,'[1]ABC Master Lists'!$AD$2:$AE$22,2,FALSE), " ")</f>
        <v xml:space="preserve"> </v>
      </c>
    </row>
    <row r="163" spans="1:13" x14ac:dyDescent="0.25">
      <c r="D163" s="54"/>
      <c r="E163" s="55" t="s">
        <v>6</v>
      </c>
      <c r="F163" s="12">
        <v>13.9</v>
      </c>
      <c r="G163" s="56" t="s">
        <v>7</v>
      </c>
      <c r="H163" s="36" t="s">
        <v>20</v>
      </c>
      <c r="J163" s="79" t="str">
        <f>IFERROR(VLOOKUP(I163,'[1]ABC Master Lists'!$B$2:$I$346,4,FALSE)," ")</f>
        <v xml:space="preserve"> </v>
      </c>
      <c r="K163" s="26" t="str">
        <f>IFERROR(VLOOKUP(I163,'[1]ABC Master Lists'!$B$2:$I$346,8,FALSE)," ")</f>
        <v xml:space="preserve"> </v>
      </c>
      <c r="L163" s="118" t="str">
        <f>IFERROR(VLOOKUP(J163,'[1]ABC Master Lists'!$AQ$2:$AS$12,3,FALSE)," ")</f>
        <v xml:space="preserve"> </v>
      </c>
      <c r="M163" s="118" t="str">
        <f>IFERROR(VLOOKUP(K163,'[1]ABC Master Lists'!$AD$2:$AE$22,2,FALSE), " ")</f>
        <v xml:space="preserve"> </v>
      </c>
    </row>
    <row r="164" spans="1:13" x14ac:dyDescent="0.25">
      <c r="D164" s="111"/>
      <c r="E164" s="115" t="s">
        <v>8</v>
      </c>
      <c r="F164" s="113">
        <v>0.25</v>
      </c>
      <c r="G164" s="116" t="s">
        <v>9</v>
      </c>
      <c r="H164" s="39" t="s">
        <v>20</v>
      </c>
      <c r="I164" s="39"/>
      <c r="J164" s="82" t="str">
        <f>IFERROR(VLOOKUP(I164,'[1]ABC Master Lists'!$B$2:$I$346,4,FALSE)," ")</f>
        <v xml:space="preserve"> </v>
      </c>
      <c r="K164" s="29" t="str">
        <f>IFERROR(VLOOKUP(I164,'[1]ABC Master Lists'!$B$2:$I$346,8,FALSE)," ")</f>
        <v xml:space="preserve"> </v>
      </c>
      <c r="L164" s="121" t="str">
        <f>IFERROR(VLOOKUP(J164,'[1]ABC Master Lists'!$AQ$2:$AS$12,3,FALSE)," ")</f>
        <v xml:space="preserve"> </v>
      </c>
      <c r="M164" s="121" t="str">
        <f>IFERROR(VLOOKUP(K164,'[1]ABC Master Lists'!$AD$2:$AE$22,2,FALSE), " ")</f>
        <v xml:space="preserve"> </v>
      </c>
    </row>
    <row r="165" spans="1:13" x14ac:dyDescent="0.25">
      <c r="D165" s="28">
        <v>64</v>
      </c>
      <c r="E165" s="103" t="s">
        <v>10</v>
      </c>
      <c r="F165" s="105">
        <v>6</v>
      </c>
      <c r="G165" s="117" t="s">
        <v>46</v>
      </c>
      <c r="H165" s="38" t="s">
        <v>5</v>
      </c>
      <c r="I165" s="38">
        <v>102</v>
      </c>
      <c r="J165" s="83">
        <f>IFERROR(VLOOKUP(I165,'[1]ABC Master Lists'!$B$2:$I$346,4,FALSE)," ")</f>
        <v>41624</v>
      </c>
      <c r="K165" s="28">
        <f>IFERROR(VLOOKUP(I165,'[1]ABC Master Lists'!$B$2:$I$346,8,FALSE)," ")</f>
        <v>68</v>
      </c>
      <c r="L165" s="118" t="str">
        <f>IFERROR(VLOOKUP(J165,'[1]ABC Master Lists'!$AQ$2:$AS$12,3,FALSE)," ")</f>
        <v>+</v>
      </c>
      <c r="M165" s="118" t="str">
        <f>IFERROR(VLOOKUP(K165,'[1]ABC Master Lists'!$AD$2:$AE$22,2,FALSE), " ")</f>
        <v>+</v>
      </c>
    </row>
    <row r="166" spans="1:13" x14ac:dyDescent="0.25">
      <c r="E166" s="53" t="s">
        <v>43</v>
      </c>
      <c r="F166" s="11">
        <v>0.5</v>
      </c>
      <c r="G166" s="59" t="s">
        <v>9</v>
      </c>
      <c r="H166" s="36" t="s">
        <v>5</v>
      </c>
      <c r="J166" s="79" t="str">
        <f>IFERROR(VLOOKUP(I166,'[1]ABC Master Lists'!$B$2:$I$346,4,FALSE)," ")</f>
        <v xml:space="preserve"> </v>
      </c>
      <c r="K166" s="26" t="str">
        <f>IFERROR(VLOOKUP(I166,'[1]ABC Master Lists'!$B$2:$I$346,8,FALSE)," ")</f>
        <v xml:space="preserve"> </v>
      </c>
      <c r="L166" s="118" t="str">
        <f>IFERROR(VLOOKUP(J166,'[1]ABC Master Lists'!$AQ$2:$AS$12,3,FALSE)," ")</f>
        <v xml:space="preserve"> </v>
      </c>
      <c r="M166" s="118" t="str">
        <f>IFERROR(VLOOKUP(K166,'[1]ABC Master Lists'!$AD$2:$AE$22,2,FALSE), " ")</f>
        <v xml:space="preserve"> </v>
      </c>
    </row>
    <row r="167" spans="1:13" x14ac:dyDescent="0.25">
      <c r="E167" s="53" t="s">
        <v>44</v>
      </c>
      <c r="F167" s="11">
        <v>4</v>
      </c>
      <c r="G167" s="60" t="s">
        <v>46</v>
      </c>
      <c r="H167" s="36" t="s">
        <v>20</v>
      </c>
      <c r="J167" s="79" t="str">
        <f>IFERROR(VLOOKUP(I167,'[1]ABC Master Lists'!$B$2:$I$346,4,FALSE)," ")</f>
        <v xml:space="preserve"> </v>
      </c>
      <c r="K167" s="26" t="str">
        <f>IFERROR(VLOOKUP(I167,'[1]ABC Master Lists'!$B$2:$I$346,8,FALSE)," ")</f>
        <v xml:space="preserve"> </v>
      </c>
      <c r="L167" s="118" t="str">
        <f>IFERROR(VLOOKUP(J167,'[1]ABC Master Lists'!$AQ$2:$AS$12,3,FALSE)," ")</f>
        <v xml:space="preserve"> </v>
      </c>
      <c r="M167" s="118" t="str">
        <f>IFERROR(VLOOKUP(K167,'[1]ABC Master Lists'!$AD$2:$AE$22,2,FALSE), " ")</f>
        <v xml:space="preserve"> </v>
      </c>
    </row>
    <row r="168" spans="1:13" x14ac:dyDescent="0.25">
      <c r="A168" s="25"/>
      <c r="B168" s="25"/>
      <c r="C168" s="25"/>
      <c r="D168" s="29"/>
      <c r="E168" s="104" t="s">
        <v>8</v>
      </c>
      <c r="F168" s="11">
        <v>0.5</v>
      </c>
      <c r="G168" s="59" t="s">
        <v>9</v>
      </c>
      <c r="H168" s="39" t="s">
        <v>20</v>
      </c>
      <c r="I168" s="39"/>
      <c r="J168" s="82" t="str">
        <f>IFERROR(VLOOKUP(I168,'[1]ABC Master Lists'!$B$2:$I$346,4,FALSE)," ")</f>
        <v xml:space="preserve"> </v>
      </c>
      <c r="K168" s="29" t="str">
        <f>IFERROR(VLOOKUP(I168,'[1]ABC Master Lists'!$B$2:$I$346,8,FALSE)," ")</f>
        <v xml:space="preserve"> </v>
      </c>
      <c r="L168" s="118" t="str">
        <f>IFERROR(VLOOKUP(J168,'[1]ABC Master Lists'!$AQ$2:$AS$12,3,FALSE)," ")</f>
        <v xml:space="preserve"> </v>
      </c>
      <c r="M168" s="118" t="str">
        <f>IFERROR(VLOOKUP(K168,'[1]ABC Master Lists'!$AD$2:$AE$22,2,FALSE), " ")</f>
        <v xml:space="preserve"> </v>
      </c>
    </row>
    <row r="169" spans="1:13" x14ac:dyDescent="0.25">
      <c r="A169" s="24">
        <v>2013</v>
      </c>
      <c r="B169" s="24" t="s">
        <v>159</v>
      </c>
      <c r="C169" s="24" t="s">
        <v>160</v>
      </c>
      <c r="D169" s="27">
        <v>1</v>
      </c>
      <c r="E169" s="169" t="s">
        <v>47</v>
      </c>
      <c r="F169" s="170" t="s">
        <v>2</v>
      </c>
      <c r="G169" s="133" t="s">
        <v>2</v>
      </c>
      <c r="H169" s="134" t="s">
        <v>2</v>
      </c>
      <c r="I169" s="27">
        <v>1</v>
      </c>
      <c r="J169" s="27" t="str">
        <f>IFERROR(VLOOKUP(I169,'[1]ABC Master Lists'!$B$2:$I$346,4,FALSE)," ")</f>
        <v>.</v>
      </c>
      <c r="K169" s="27" t="str">
        <f>IFERROR(VLOOKUP(I169,'[1]ABC Master Lists'!$B$2:$I$346,8,FALSE)," ")</f>
        <v>.</v>
      </c>
      <c r="L169" s="120" t="str">
        <f>IFERROR(VLOOKUP(J169,'[1]ABC Master Lists'!$AQ$2:$AS$12,3,FALSE)," ")</f>
        <v>+</v>
      </c>
      <c r="M169" s="120" t="str">
        <f>IFERROR(VLOOKUP(K169,'[1]ABC Master Lists'!$AD$2:$AE$22,2,FALSE), " ")</f>
        <v>+</v>
      </c>
    </row>
    <row r="170" spans="1:13" x14ac:dyDescent="0.25">
      <c r="D170" s="26">
        <v>3</v>
      </c>
      <c r="E170" s="40" t="s">
        <v>48</v>
      </c>
      <c r="F170" s="5">
        <v>5</v>
      </c>
      <c r="G170" s="42" t="s">
        <v>7</v>
      </c>
      <c r="H170" s="41" t="s">
        <v>5</v>
      </c>
      <c r="I170" s="36">
        <v>106</v>
      </c>
      <c r="J170" s="79">
        <f>IFERROR(VLOOKUP(I170,'[1]ABC Master Lists'!$B$2:$I$346,4,FALSE)," ")</f>
        <v>1415</v>
      </c>
      <c r="K170" s="79">
        <f>IFERROR(VLOOKUP(I170,'[1]ABC Master Lists'!$B$2:$I$346,8,FALSE)," ")</f>
        <v>6</v>
      </c>
      <c r="L170" s="118" t="str">
        <f>IFERROR(VLOOKUP(J170,'[1]ABC Master Lists'!$AQ$2:$AS$12,3,FALSE)," ")</f>
        <v>+</v>
      </c>
      <c r="M170" s="118" t="str">
        <f>IFERROR(VLOOKUP(K170,'[1]ABC Master Lists'!$AD$2:$AE$22,2,FALSE), " ")</f>
        <v>+</v>
      </c>
    </row>
    <row r="171" spans="1:13" x14ac:dyDescent="0.25">
      <c r="D171" s="27">
        <v>4</v>
      </c>
      <c r="E171" s="84" t="s">
        <v>48</v>
      </c>
      <c r="F171" s="93">
        <v>5</v>
      </c>
      <c r="G171" s="85" t="s">
        <v>7</v>
      </c>
      <c r="H171" s="86" t="s">
        <v>20</v>
      </c>
      <c r="I171" s="37">
        <v>108</v>
      </c>
      <c r="J171" s="81">
        <f>IFERROR(VLOOKUP(I171,'[1]ABC Master Lists'!$B$2:$I$346,4,FALSE)," ")</f>
        <v>1415</v>
      </c>
      <c r="K171" s="27">
        <f>IFERROR(VLOOKUP(I171,'[1]ABC Master Lists'!$B$2:$I$346,8,FALSE)," ")</f>
        <v>8</v>
      </c>
      <c r="L171" s="120" t="str">
        <f>IFERROR(VLOOKUP(J171,'[1]ABC Master Lists'!$AQ$2:$AS$12,3,FALSE)," ")</f>
        <v>+</v>
      </c>
      <c r="M171" s="120" t="str">
        <f>IFERROR(VLOOKUP(K171,'[1]ABC Master Lists'!$AD$2:$AE$22,2,FALSE), " ")</f>
        <v>+</v>
      </c>
    </row>
    <row r="172" spans="1:13" x14ac:dyDescent="0.25">
      <c r="D172" s="26">
        <v>5</v>
      </c>
      <c r="E172" s="40" t="s">
        <v>49</v>
      </c>
      <c r="F172" s="5">
        <v>10</v>
      </c>
      <c r="G172" s="42" t="s">
        <v>7</v>
      </c>
      <c r="H172" s="41" t="s">
        <v>20</v>
      </c>
      <c r="I172" s="36">
        <v>183</v>
      </c>
      <c r="J172" s="79">
        <f>IFERROR(VLOOKUP(I172,'[1]ABC Master Lists'!$B$2:$I$346,4,FALSE)," ")</f>
        <v>19</v>
      </c>
      <c r="K172" s="79">
        <f>IFERROR(VLOOKUP(I172,'[1]ABC Master Lists'!$B$2:$I$346,8,FALSE)," ")</f>
        <v>8</v>
      </c>
      <c r="L172" s="118" t="str">
        <f>IFERROR(VLOOKUP(J172,'[1]ABC Master Lists'!$AQ$2:$AS$12,3,FALSE)," ")</f>
        <v xml:space="preserve"> </v>
      </c>
      <c r="M172" s="118" t="str">
        <f>IFERROR(VLOOKUP(K172,'[1]ABC Master Lists'!$AD$2:$AE$22,2,FALSE), " ")</f>
        <v>+</v>
      </c>
    </row>
    <row r="173" spans="1:13" x14ac:dyDescent="0.25">
      <c r="D173" s="27">
        <v>6</v>
      </c>
      <c r="E173" s="84" t="s">
        <v>50</v>
      </c>
      <c r="F173" s="93">
        <v>20</v>
      </c>
      <c r="G173" s="85" t="s">
        <v>7</v>
      </c>
      <c r="H173" s="86" t="s">
        <v>5</v>
      </c>
      <c r="I173" s="37">
        <v>123</v>
      </c>
      <c r="J173" s="81">
        <f>IFERROR(VLOOKUP(I173,'[1]ABC Master Lists'!$B$2:$I$346,4,FALSE)," ")</f>
        <v>28</v>
      </c>
      <c r="K173" s="81">
        <f>IFERROR(VLOOKUP(I173,'[1]ABC Master Lists'!$B$2:$I$346,8,FALSE)," ")</f>
        <v>6</v>
      </c>
      <c r="L173" s="120" t="str">
        <f>IFERROR(VLOOKUP(J173,'[1]ABC Master Lists'!$AQ$2:$AS$12,3,FALSE)," ")</f>
        <v>+</v>
      </c>
      <c r="M173" s="120" t="str">
        <f>IFERROR(VLOOKUP(K173,'[1]ABC Master Lists'!$AD$2:$AE$22,2,FALSE), " ")</f>
        <v>+</v>
      </c>
    </row>
    <row r="174" spans="1:13" x14ac:dyDescent="0.25">
      <c r="D174" s="26">
        <v>7</v>
      </c>
      <c r="E174" s="40" t="s">
        <v>50</v>
      </c>
      <c r="F174" s="5">
        <v>20</v>
      </c>
      <c r="G174" s="42" t="s">
        <v>7</v>
      </c>
      <c r="H174" s="41" t="s">
        <v>5</v>
      </c>
      <c r="I174" s="36">
        <v>124</v>
      </c>
      <c r="J174" s="79">
        <f>IFERROR(VLOOKUP(I174,'[1]ABC Master Lists'!$B$2:$I$346,4,FALSE)," ")</f>
        <v>28</v>
      </c>
      <c r="K174" s="79">
        <f>IFERROR(VLOOKUP(I174,'[1]ABC Master Lists'!$B$2:$I$346,8,FALSE)," ")</f>
        <v>68</v>
      </c>
      <c r="L174" s="118" t="str">
        <f>IFERROR(VLOOKUP(J174,'[1]ABC Master Lists'!$AQ$2:$AS$12,3,FALSE)," ")</f>
        <v>+</v>
      </c>
      <c r="M174" s="118" t="str">
        <f>IFERROR(VLOOKUP(K174,'[1]ABC Master Lists'!$AD$2:$AE$22,2,FALSE), " ")</f>
        <v>+</v>
      </c>
    </row>
    <row r="175" spans="1:13" x14ac:dyDescent="0.25">
      <c r="E175" s="40" t="s">
        <v>50</v>
      </c>
      <c r="F175" s="5">
        <v>20</v>
      </c>
      <c r="G175" s="42" t="s">
        <v>7</v>
      </c>
      <c r="H175" s="41" t="s">
        <v>20</v>
      </c>
      <c r="J175" s="79" t="str">
        <f>IFERROR(VLOOKUP(I175,'[1]ABC Master Lists'!$B$2:$I$346,4,FALSE)," ")</f>
        <v xml:space="preserve"> </v>
      </c>
      <c r="K175" s="79" t="str">
        <f>IFERROR(VLOOKUP(I175,'[1]ABC Master Lists'!$B$2:$I$346,8,FALSE)," ")</f>
        <v xml:space="preserve"> </v>
      </c>
      <c r="L175" s="118" t="str">
        <f>IFERROR(VLOOKUP(J175,'[1]ABC Master Lists'!$AQ$2:$AS$12,3,FALSE)," ")</f>
        <v xml:space="preserve"> </v>
      </c>
      <c r="M175" s="118" t="str">
        <f>IFERROR(VLOOKUP(K175,'[1]ABC Master Lists'!$AD$2:$AE$22,2,FALSE), " ")</f>
        <v xml:space="preserve"> </v>
      </c>
    </row>
    <row r="176" spans="1:13" x14ac:dyDescent="0.25">
      <c r="D176" s="28">
        <v>8</v>
      </c>
      <c r="E176" s="43" t="s">
        <v>50</v>
      </c>
      <c r="F176" s="94">
        <v>20</v>
      </c>
      <c r="G176" s="48" t="s">
        <v>7</v>
      </c>
      <c r="H176" s="38" t="s">
        <v>5</v>
      </c>
      <c r="I176" s="38">
        <v>125</v>
      </c>
      <c r="J176" s="83">
        <f>IFERROR(VLOOKUP(I176,'[1]ABC Master Lists'!$B$2:$I$346,4,FALSE)," ")</f>
        <v>28125</v>
      </c>
      <c r="K176" s="83">
        <f>IFERROR(VLOOKUP(I176,'[1]ABC Master Lists'!$B$2:$I$346,8,FALSE)," ")</f>
        <v>68</v>
      </c>
      <c r="L176" s="122" t="str">
        <f>IFERROR(VLOOKUP(J176,'[1]ABC Master Lists'!$AQ$2:$AS$12,3,FALSE)," ")</f>
        <v xml:space="preserve"> </v>
      </c>
      <c r="M176" s="122" t="str">
        <f>IFERROR(VLOOKUP(K176,'[1]ABC Master Lists'!$AD$2:$AE$22,2,FALSE), " ")</f>
        <v>+</v>
      </c>
    </row>
    <row r="177" spans="4:13" x14ac:dyDescent="0.25">
      <c r="D177" s="29"/>
      <c r="E177" s="45" t="s">
        <v>51</v>
      </c>
      <c r="F177" s="123">
        <v>8.6</v>
      </c>
      <c r="G177" s="46" t="s">
        <v>7</v>
      </c>
      <c r="H177" s="47" t="s">
        <v>20</v>
      </c>
      <c r="I177" s="39"/>
      <c r="J177" s="82" t="str">
        <f>IFERROR(VLOOKUP(I177,'[1]ABC Master Lists'!$B$2:$I$346,4,FALSE)," ")</f>
        <v xml:space="preserve"> </v>
      </c>
      <c r="K177" s="82" t="str">
        <f>IFERROR(VLOOKUP(I177,'[1]ABC Master Lists'!$B$2:$I$346,8,FALSE)," ")</f>
        <v xml:space="preserve"> </v>
      </c>
      <c r="L177" s="121" t="str">
        <f>IFERROR(VLOOKUP(J177,'[1]ABC Master Lists'!$AQ$2:$AS$12,3,FALSE)," ")</f>
        <v xml:space="preserve"> </v>
      </c>
      <c r="M177" s="121" t="str">
        <f>IFERROR(VLOOKUP(K177,'[1]ABC Master Lists'!$AD$2:$AE$22,2,FALSE), " ")</f>
        <v xml:space="preserve"> </v>
      </c>
    </row>
    <row r="178" spans="4:13" x14ac:dyDescent="0.25">
      <c r="D178" s="26">
        <v>9</v>
      </c>
      <c r="E178" s="40" t="s">
        <v>50</v>
      </c>
      <c r="F178" s="5">
        <v>20</v>
      </c>
      <c r="G178" s="42" t="s">
        <v>7</v>
      </c>
      <c r="H178" s="41" t="s">
        <v>5</v>
      </c>
      <c r="I178" s="36">
        <v>126</v>
      </c>
      <c r="J178" s="79">
        <f>IFERROR(VLOOKUP(I178,'[1]ABC Master Lists'!$B$2:$I$346,4,FALSE)," ")</f>
        <v>2825</v>
      </c>
      <c r="K178" s="79">
        <f>IFERROR(VLOOKUP(I178,'[1]ABC Master Lists'!$B$2:$I$346,8,FALSE)," ")</f>
        <v>68</v>
      </c>
      <c r="L178" s="118" t="str">
        <f>IFERROR(VLOOKUP(J178,'[1]ABC Master Lists'!$AQ$2:$AS$12,3,FALSE)," ")</f>
        <v xml:space="preserve"> </v>
      </c>
      <c r="M178" s="118" t="str">
        <f>IFERROR(VLOOKUP(K178,'[1]ABC Master Lists'!$AD$2:$AE$22,2,FALSE), " ")</f>
        <v>+</v>
      </c>
    </row>
    <row r="179" spans="4:13" x14ac:dyDescent="0.25">
      <c r="E179" s="40" t="s">
        <v>52</v>
      </c>
      <c r="F179" s="5">
        <v>4</v>
      </c>
      <c r="G179" s="42" t="s">
        <v>7</v>
      </c>
      <c r="H179" s="41" t="s">
        <v>20</v>
      </c>
      <c r="J179" s="79" t="str">
        <f>IFERROR(VLOOKUP(I179,'[1]ABC Master Lists'!$B$2:$I$346,4,FALSE)," ")</f>
        <v xml:space="preserve"> </v>
      </c>
      <c r="K179" s="79" t="str">
        <f>IFERROR(VLOOKUP(I179,'[1]ABC Master Lists'!$B$2:$I$346,8,FALSE)," ")</f>
        <v xml:space="preserve"> </v>
      </c>
      <c r="L179" s="118" t="str">
        <f>IFERROR(VLOOKUP(J179,'[1]ABC Master Lists'!$AQ$2:$AS$12,3,FALSE)," ")</f>
        <v xml:space="preserve"> </v>
      </c>
      <c r="M179" s="118" t="str">
        <f>IFERROR(VLOOKUP(K179,'[1]ABC Master Lists'!$AD$2:$AE$22,2,FALSE), " ")</f>
        <v xml:space="preserve"> </v>
      </c>
    </row>
    <row r="180" spans="4:13" x14ac:dyDescent="0.25">
      <c r="D180" s="27">
        <v>10</v>
      </c>
      <c r="E180" s="84" t="s">
        <v>53</v>
      </c>
      <c r="F180" s="93">
        <v>15</v>
      </c>
      <c r="G180" s="85" t="s">
        <v>7</v>
      </c>
      <c r="H180" s="86" t="s">
        <v>5</v>
      </c>
      <c r="I180" s="37">
        <v>221</v>
      </c>
      <c r="J180" s="81">
        <f>IFERROR(VLOOKUP(I180,'[1]ABC Master Lists'!$B$2:$I$346,4,FALSE)," ")</f>
        <v>28</v>
      </c>
      <c r="K180" s="81">
        <f>IFERROR(VLOOKUP(I180,'[1]ABC Master Lists'!$B$2:$I$346,8,FALSE)," ")</f>
        <v>6</v>
      </c>
      <c r="L180" s="120" t="str">
        <f>IFERROR(VLOOKUP(J180,'[1]ABC Master Lists'!$AQ$2:$AS$12,3,FALSE)," ")</f>
        <v>+</v>
      </c>
      <c r="M180" s="120" t="str">
        <f>IFERROR(VLOOKUP(K180,'[1]ABC Master Lists'!$AD$2:$AE$22,2,FALSE), " ")</f>
        <v>+</v>
      </c>
    </row>
    <row r="181" spans="4:13" x14ac:dyDescent="0.25">
      <c r="D181" s="26">
        <v>11</v>
      </c>
      <c r="E181" s="40" t="s">
        <v>14</v>
      </c>
      <c r="F181" s="5">
        <v>6</v>
      </c>
      <c r="G181" s="42" t="s">
        <v>7</v>
      </c>
      <c r="H181" s="36" t="s">
        <v>5</v>
      </c>
      <c r="I181" s="36">
        <v>110</v>
      </c>
      <c r="J181" s="79">
        <f>IFERROR(VLOOKUP(I181,'[1]ABC Master Lists'!$B$2:$I$346,4,FALSE)," ")</f>
        <v>24</v>
      </c>
      <c r="K181" s="79">
        <f>IFERROR(VLOOKUP(I181,'[1]ABC Master Lists'!$B$2:$I$346,8,FALSE)," ")</f>
        <v>6</v>
      </c>
      <c r="L181" s="118" t="str">
        <f>IFERROR(VLOOKUP(J181,'[1]ABC Master Lists'!$AQ$2:$AS$12,3,FALSE)," ")</f>
        <v xml:space="preserve"> </v>
      </c>
      <c r="M181" s="118" t="str">
        <f>IFERROR(VLOOKUP(K181,'[1]ABC Master Lists'!$AD$2:$AE$22,2,FALSE), " ")</f>
        <v>+</v>
      </c>
    </row>
    <row r="182" spans="4:13" x14ac:dyDescent="0.25">
      <c r="E182" s="51" t="s">
        <v>8</v>
      </c>
      <c r="F182" s="5">
        <v>0.25</v>
      </c>
      <c r="G182" s="42" t="s">
        <v>9</v>
      </c>
      <c r="H182" s="36" t="s">
        <v>5</v>
      </c>
      <c r="J182" s="79" t="str">
        <f>IFERROR(VLOOKUP(I182,'[1]ABC Master Lists'!$B$2:$I$346,4,FALSE)," ")</f>
        <v xml:space="preserve"> </v>
      </c>
      <c r="K182" s="79" t="str">
        <f>IFERROR(VLOOKUP(I182,'[1]ABC Master Lists'!$B$2:$I$346,8,FALSE)," ")</f>
        <v xml:space="preserve"> </v>
      </c>
      <c r="L182" s="118" t="str">
        <f>IFERROR(VLOOKUP(J182,'[1]ABC Master Lists'!$AQ$2:$AS$12,3,FALSE)," ")</f>
        <v xml:space="preserve"> </v>
      </c>
      <c r="M182" s="118" t="str">
        <f>IFERROR(VLOOKUP(K182,'[1]ABC Master Lists'!$AD$2:$AE$22,2,FALSE), " ")</f>
        <v xml:space="preserve"> </v>
      </c>
    </row>
    <row r="183" spans="4:13" x14ac:dyDescent="0.25">
      <c r="D183" s="28">
        <v>12</v>
      </c>
      <c r="E183" s="43" t="s">
        <v>15</v>
      </c>
      <c r="F183" s="94">
        <v>5</v>
      </c>
      <c r="G183" s="48" t="s">
        <v>7</v>
      </c>
      <c r="H183" s="44" t="s">
        <v>5</v>
      </c>
      <c r="I183" s="38">
        <v>74</v>
      </c>
      <c r="J183" s="83">
        <f>IFERROR(VLOOKUP(I183,'[1]ABC Master Lists'!$B$2:$I$346,4,FALSE)," ")</f>
        <v>26</v>
      </c>
      <c r="K183" s="83">
        <f>IFERROR(VLOOKUP(I183,'[1]ABC Master Lists'!$B$2:$I$346,8,FALSE)," ")</f>
        <v>6</v>
      </c>
      <c r="L183" s="122" t="str">
        <f>IFERROR(VLOOKUP(J183,'[1]ABC Master Lists'!$AQ$2:$AS$12,3,FALSE)," ")</f>
        <v>+</v>
      </c>
      <c r="M183" s="122" t="str">
        <f>IFERROR(VLOOKUP(K183,'[1]ABC Master Lists'!$AD$2:$AE$22,2,FALSE), " ")</f>
        <v>+</v>
      </c>
    </row>
    <row r="184" spans="4:13" x14ac:dyDescent="0.25">
      <c r="D184" s="29"/>
      <c r="E184" s="100" t="s">
        <v>8</v>
      </c>
      <c r="F184" s="123">
        <v>0.25</v>
      </c>
      <c r="G184" s="46" t="s">
        <v>54</v>
      </c>
      <c r="H184" s="47" t="s">
        <v>5</v>
      </c>
      <c r="I184" s="39"/>
      <c r="J184" s="82" t="str">
        <f>IFERROR(VLOOKUP(I184,'[1]ABC Master Lists'!$B$2:$I$346,4,FALSE)," ")</f>
        <v xml:space="preserve"> </v>
      </c>
      <c r="K184" s="82" t="str">
        <f>IFERROR(VLOOKUP(I184,'[1]ABC Master Lists'!$B$2:$I$346,8,FALSE)," ")</f>
        <v xml:space="preserve"> </v>
      </c>
      <c r="L184" s="121" t="str">
        <f>IFERROR(VLOOKUP(J184,'[1]ABC Master Lists'!$AQ$2:$AS$12,3,FALSE)," ")</f>
        <v xml:space="preserve"> </v>
      </c>
      <c r="M184" s="121" t="str">
        <f>IFERROR(VLOOKUP(K184,'[1]ABC Master Lists'!$AD$2:$AE$22,2,FALSE), " ")</f>
        <v xml:space="preserve"> </v>
      </c>
    </row>
    <row r="185" spans="4:13" x14ac:dyDescent="0.25">
      <c r="D185" s="26">
        <v>13</v>
      </c>
      <c r="E185" s="40" t="s">
        <v>48</v>
      </c>
      <c r="F185" s="5">
        <v>6</v>
      </c>
      <c r="G185" s="42" t="s">
        <v>7</v>
      </c>
      <c r="H185" s="41" t="s">
        <v>5</v>
      </c>
      <c r="I185" s="36">
        <v>109</v>
      </c>
      <c r="J185" s="79">
        <f>IFERROR(VLOOKUP(I185,'[1]ABC Master Lists'!$B$2:$I$346,4,FALSE)," ")</f>
        <v>1415</v>
      </c>
      <c r="K185" s="79">
        <f>IFERROR(VLOOKUP(I185,'[1]ABC Master Lists'!$B$2:$I$346,8,FALSE)," ")</f>
        <v>6</v>
      </c>
      <c r="L185" s="118" t="str">
        <f>IFERROR(VLOOKUP(J185,'[1]ABC Master Lists'!$AQ$2:$AS$12,3,FALSE)," ")</f>
        <v>+</v>
      </c>
      <c r="M185" s="118" t="str">
        <f>IFERROR(VLOOKUP(K185,'[1]ABC Master Lists'!$AD$2:$AE$22,2,FALSE), " ")</f>
        <v>+</v>
      </c>
    </row>
    <row r="186" spans="4:13" x14ac:dyDescent="0.25">
      <c r="D186" s="27">
        <v>14</v>
      </c>
      <c r="E186" s="84" t="s">
        <v>44</v>
      </c>
      <c r="F186" s="93">
        <v>8</v>
      </c>
      <c r="G186" s="85" t="s">
        <v>7</v>
      </c>
      <c r="H186" s="86" t="s">
        <v>5</v>
      </c>
      <c r="I186" s="37">
        <v>154</v>
      </c>
      <c r="J186" s="81">
        <f>IFERROR(VLOOKUP(I186,'[1]ABC Master Lists'!$B$2:$I$346,4,FALSE)," ")</f>
        <v>1624</v>
      </c>
      <c r="K186" s="81">
        <f>IFERROR(VLOOKUP(I186,'[1]ABC Master Lists'!$B$2:$I$346,8,FALSE)," ")</f>
        <v>6</v>
      </c>
      <c r="L186" s="120" t="str">
        <f>IFERROR(VLOOKUP(J186,'[1]ABC Master Lists'!$AQ$2:$AS$12,3,FALSE)," ")</f>
        <v xml:space="preserve"> </v>
      </c>
      <c r="M186" s="120" t="str">
        <f>IFERROR(VLOOKUP(K186,'[1]ABC Master Lists'!$AD$2:$AE$22,2,FALSE), " ")</f>
        <v>+</v>
      </c>
    </row>
    <row r="187" spans="4:13" x14ac:dyDescent="0.25">
      <c r="D187" s="26">
        <v>15</v>
      </c>
      <c r="E187" s="40" t="s">
        <v>18</v>
      </c>
      <c r="F187" s="5">
        <v>6</v>
      </c>
      <c r="G187" s="42" t="s">
        <v>7</v>
      </c>
      <c r="H187" s="41" t="s">
        <v>5</v>
      </c>
      <c r="I187" s="36">
        <v>52</v>
      </c>
      <c r="J187" s="79">
        <f>IFERROR(VLOOKUP(I187,'[1]ABC Master Lists'!$B$2:$I$346,4,FALSE)," ")</f>
        <v>18</v>
      </c>
      <c r="K187" s="79">
        <f>IFERROR(VLOOKUP(I187,'[1]ABC Master Lists'!$B$2:$I$346,8,FALSE)," ")</f>
        <v>6</v>
      </c>
      <c r="L187" s="118" t="str">
        <f>IFERROR(VLOOKUP(J187,'[1]ABC Master Lists'!$AQ$2:$AS$12,3,FALSE)," ")</f>
        <v>+</v>
      </c>
      <c r="M187" s="118" t="str">
        <f>IFERROR(VLOOKUP(K187,'[1]ABC Master Lists'!$AD$2:$AE$22,2,FALSE), " ")</f>
        <v>+</v>
      </c>
    </row>
    <row r="188" spans="4:13" x14ac:dyDescent="0.25">
      <c r="D188" s="27">
        <v>16</v>
      </c>
      <c r="E188" s="84" t="s">
        <v>10</v>
      </c>
      <c r="F188" s="93">
        <v>8</v>
      </c>
      <c r="G188" s="85" t="s">
        <v>7</v>
      </c>
      <c r="H188" s="86" t="s">
        <v>5</v>
      </c>
      <c r="I188" s="37">
        <v>90</v>
      </c>
      <c r="J188" s="81">
        <f>IFERROR(VLOOKUP(I188,'[1]ABC Master Lists'!$B$2:$I$346,4,FALSE)," ")</f>
        <v>4</v>
      </c>
      <c r="K188" s="81">
        <f>IFERROR(VLOOKUP(I188,'[1]ABC Master Lists'!$B$2:$I$346,8,FALSE)," ")</f>
        <v>6</v>
      </c>
      <c r="L188" s="120" t="str">
        <f>IFERROR(VLOOKUP(J188,'[1]ABC Master Lists'!$AQ$2:$AS$12,3,FALSE)," ")</f>
        <v>+</v>
      </c>
      <c r="M188" s="120" t="str">
        <f>IFERROR(VLOOKUP(K188,'[1]ABC Master Lists'!$AD$2:$AE$22,2,FALSE), " ")</f>
        <v>+</v>
      </c>
    </row>
    <row r="189" spans="4:13" x14ac:dyDescent="0.25">
      <c r="D189" s="26">
        <v>17</v>
      </c>
      <c r="E189" s="40" t="s">
        <v>55</v>
      </c>
      <c r="F189" s="5">
        <v>3</v>
      </c>
      <c r="G189" s="42" t="s">
        <v>7</v>
      </c>
      <c r="H189" s="41" t="s">
        <v>5</v>
      </c>
      <c r="I189" s="36">
        <v>156</v>
      </c>
      <c r="J189" s="79">
        <f>IFERROR(VLOOKUP(I189,'[1]ABC Master Lists'!$B$2:$I$346,4,FALSE)," ")</f>
        <v>22</v>
      </c>
      <c r="K189" s="79">
        <f>IFERROR(VLOOKUP(I189,'[1]ABC Master Lists'!$B$2:$I$346,8,FALSE)," ")</f>
        <v>6</v>
      </c>
      <c r="L189" s="118" t="str">
        <f>IFERROR(VLOOKUP(J189,'[1]ABC Master Lists'!$AQ$2:$AS$12,3,FALSE)," ")</f>
        <v>+</v>
      </c>
      <c r="M189" s="118" t="str">
        <f>IFERROR(VLOOKUP(K189,'[1]ABC Master Lists'!$AD$2:$AE$22,2,FALSE), " ")</f>
        <v>+</v>
      </c>
    </row>
    <row r="190" spans="4:13" x14ac:dyDescent="0.25">
      <c r="D190" s="28">
        <v>18</v>
      </c>
      <c r="E190" s="43" t="s">
        <v>6</v>
      </c>
      <c r="F190" s="94">
        <v>9</v>
      </c>
      <c r="G190" s="48" t="s">
        <v>7</v>
      </c>
      <c r="H190" s="44" t="s">
        <v>5</v>
      </c>
      <c r="I190" s="38">
        <v>17</v>
      </c>
      <c r="J190" s="83">
        <f>IFERROR(VLOOKUP(I190,'[1]ABC Master Lists'!$B$2:$I$346,4,FALSE)," ")</f>
        <v>20</v>
      </c>
      <c r="K190" s="83">
        <f>IFERROR(VLOOKUP(I190,'[1]ABC Master Lists'!$B$2:$I$346,8,FALSE)," ")</f>
        <v>6</v>
      </c>
      <c r="L190" s="122" t="str">
        <f>IFERROR(VLOOKUP(J190,'[1]ABC Master Lists'!$AQ$2:$AS$12,3,FALSE)," ")</f>
        <v>+</v>
      </c>
      <c r="M190" s="122" t="str">
        <f>IFERROR(VLOOKUP(K190,'[1]ABC Master Lists'!$AD$2:$AE$22,2,FALSE), " ")</f>
        <v>+</v>
      </c>
    </row>
    <row r="191" spans="4:13" x14ac:dyDescent="0.25">
      <c r="D191" s="29"/>
      <c r="E191" s="100" t="s">
        <v>8</v>
      </c>
      <c r="F191" s="123">
        <v>0.25</v>
      </c>
      <c r="G191" s="46" t="s">
        <v>9</v>
      </c>
      <c r="H191" s="47" t="s">
        <v>5</v>
      </c>
      <c r="I191" s="39"/>
      <c r="J191" s="82" t="str">
        <f>IFERROR(VLOOKUP(I191,'[1]ABC Master Lists'!$B$2:$I$346,4,FALSE)," ")</f>
        <v xml:space="preserve"> </v>
      </c>
      <c r="K191" s="82" t="str">
        <f>IFERROR(VLOOKUP(I191,'[1]ABC Master Lists'!$B$2:$I$346,8,FALSE)," ")</f>
        <v xml:space="preserve"> </v>
      </c>
      <c r="L191" s="121" t="str">
        <f>IFERROR(VLOOKUP(J191,'[1]ABC Master Lists'!$AQ$2:$AS$12,3,FALSE)," ")</f>
        <v xml:space="preserve"> </v>
      </c>
      <c r="M191" s="121" t="str">
        <f>IFERROR(VLOOKUP(K191,'[1]ABC Master Lists'!$AD$2:$AE$22,2,FALSE), " ")</f>
        <v xml:space="preserve"> </v>
      </c>
    </row>
    <row r="192" spans="4:13" x14ac:dyDescent="0.25">
      <c r="D192" s="26">
        <v>19</v>
      </c>
      <c r="E192" s="40" t="s">
        <v>56</v>
      </c>
      <c r="F192" s="5">
        <v>6.8</v>
      </c>
      <c r="G192" s="42" t="s">
        <v>7</v>
      </c>
      <c r="H192" s="36" t="s">
        <v>57</v>
      </c>
      <c r="I192" s="36">
        <v>33</v>
      </c>
      <c r="J192" s="79">
        <f>IFERROR(VLOOKUP(I192,'[1]ABC Master Lists'!$B$2:$I$346,4,FALSE)," ")</f>
        <v>208</v>
      </c>
      <c r="K192" s="79">
        <f>IFERROR(VLOOKUP(I192,'[1]ABC Master Lists'!$B$2:$I$346,8,FALSE)," ")</f>
        <v>7</v>
      </c>
      <c r="L192" s="118" t="str">
        <f>IFERROR(VLOOKUP(J192,'[1]ABC Master Lists'!$AQ$2:$AS$12,3,FALSE)," ")</f>
        <v xml:space="preserve"> </v>
      </c>
      <c r="M192" s="118" t="str">
        <f>IFERROR(VLOOKUP(K192,'[1]ABC Master Lists'!$AD$2:$AE$22,2,FALSE), " ")</f>
        <v>+</v>
      </c>
    </row>
    <row r="193" spans="4:13" x14ac:dyDescent="0.25">
      <c r="E193" s="51" t="s">
        <v>8</v>
      </c>
      <c r="F193" s="5">
        <v>0.25</v>
      </c>
      <c r="G193" s="42" t="s">
        <v>9</v>
      </c>
      <c r="H193" s="36" t="s">
        <v>57</v>
      </c>
      <c r="J193" s="79" t="str">
        <f>IFERROR(VLOOKUP(I193,'[1]ABC Master Lists'!$B$2:$I$346,4,FALSE)," ")</f>
        <v xml:space="preserve"> </v>
      </c>
      <c r="K193" s="79" t="str">
        <f>IFERROR(VLOOKUP(I193,'[1]ABC Master Lists'!$B$2:$I$346,8,FALSE)," ")</f>
        <v xml:space="preserve"> </v>
      </c>
      <c r="L193" s="118" t="str">
        <f>IFERROR(VLOOKUP(J193,'[1]ABC Master Lists'!$AQ$2:$AS$12,3,FALSE)," ")</f>
        <v xml:space="preserve"> </v>
      </c>
      <c r="M193" s="118" t="str">
        <f>IFERROR(VLOOKUP(K193,'[1]ABC Master Lists'!$AD$2:$AE$22,2,FALSE), " ")</f>
        <v xml:space="preserve"> </v>
      </c>
    </row>
    <row r="194" spans="4:13" x14ac:dyDescent="0.25">
      <c r="D194" s="28">
        <v>20</v>
      </c>
      <c r="E194" s="43" t="s">
        <v>56</v>
      </c>
      <c r="F194" s="94">
        <v>6.8</v>
      </c>
      <c r="G194" s="48" t="s">
        <v>7</v>
      </c>
      <c r="H194" s="44" t="s">
        <v>5</v>
      </c>
      <c r="I194" s="38">
        <v>35</v>
      </c>
      <c r="J194" s="83">
        <f>IFERROR(VLOOKUP(I194,'[1]ABC Master Lists'!$B$2:$I$346,4,FALSE)," ")</f>
        <v>208</v>
      </c>
      <c r="K194" s="83">
        <f>IFERROR(VLOOKUP(I194,'[1]ABC Master Lists'!$B$2:$I$346,8,FALSE)," ")</f>
        <v>68</v>
      </c>
      <c r="L194" s="122" t="str">
        <f>IFERROR(VLOOKUP(J194,'[1]ABC Master Lists'!$AQ$2:$AS$12,3,FALSE)," ")</f>
        <v xml:space="preserve"> </v>
      </c>
      <c r="M194" s="122" t="str">
        <f>IFERROR(VLOOKUP(K194,'[1]ABC Master Lists'!$AD$2:$AE$22,2,FALSE), " ")</f>
        <v>+</v>
      </c>
    </row>
    <row r="195" spans="4:13" x14ac:dyDescent="0.25">
      <c r="E195" s="52" t="s">
        <v>8</v>
      </c>
      <c r="F195" s="5">
        <v>0.25</v>
      </c>
      <c r="G195" s="32" t="s">
        <v>9</v>
      </c>
      <c r="H195" s="41" t="s">
        <v>5</v>
      </c>
      <c r="J195" s="79" t="str">
        <f>IFERROR(VLOOKUP(I195,'[1]ABC Master Lists'!$B$2:$I$346,4,FALSE)," ")</f>
        <v xml:space="preserve"> </v>
      </c>
      <c r="K195" s="79" t="str">
        <f>IFERROR(VLOOKUP(I195,'[1]ABC Master Lists'!$B$2:$I$346,8,FALSE)," ")</f>
        <v xml:space="preserve"> </v>
      </c>
      <c r="L195" s="118" t="str">
        <f>IFERROR(VLOOKUP(J195,'[1]ABC Master Lists'!$AQ$2:$AS$12,3,FALSE)," ")</f>
        <v xml:space="preserve"> </v>
      </c>
      <c r="M195" s="118" t="str">
        <f>IFERROR(VLOOKUP(K195,'[1]ABC Master Lists'!$AD$2:$AE$22,2,FALSE), " ")</f>
        <v xml:space="preserve"> </v>
      </c>
    </row>
    <row r="196" spans="4:13" x14ac:dyDescent="0.25">
      <c r="E196" s="40" t="s">
        <v>56</v>
      </c>
      <c r="F196" s="5">
        <v>6.8</v>
      </c>
      <c r="G196" s="42" t="s">
        <v>7</v>
      </c>
      <c r="H196" s="41" t="s">
        <v>20</v>
      </c>
      <c r="J196" s="79" t="str">
        <f>IFERROR(VLOOKUP(I196,'[1]ABC Master Lists'!$B$2:$I$346,4,FALSE)," ")</f>
        <v xml:space="preserve"> </v>
      </c>
      <c r="K196" s="79" t="str">
        <f>IFERROR(VLOOKUP(I196,'[1]ABC Master Lists'!$B$2:$I$346,8,FALSE)," ")</f>
        <v xml:space="preserve"> </v>
      </c>
      <c r="L196" s="118" t="str">
        <f>IFERROR(VLOOKUP(J196,'[1]ABC Master Lists'!$AQ$2:$AS$12,3,FALSE)," ")</f>
        <v xml:space="preserve"> </v>
      </c>
      <c r="M196" s="118" t="str">
        <f>IFERROR(VLOOKUP(K196,'[1]ABC Master Lists'!$AD$2:$AE$22,2,FALSE), " ")</f>
        <v xml:space="preserve"> </v>
      </c>
    </row>
    <row r="197" spans="4:13" x14ac:dyDescent="0.25">
      <c r="D197" s="29"/>
      <c r="E197" s="99" t="s">
        <v>8</v>
      </c>
      <c r="F197" s="123">
        <v>0.25</v>
      </c>
      <c r="G197" s="35" t="s">
        <v>9</v>
      </c>
      <c r="H197" s="47" t="s">
        <v>20</v>
      </c>
      <c r="I197" s="39"/>
      <c r="J197" s="82" t="str">
        <f>IFERROR(VLOOKUP(I197,'[1]ABC Master Lists'!$B$2:$I$346,4,FALSE)," ")</f>
        <v xml:space="preserve"> </v>
      </c>
      <c r="K197" s="82" t="str">
        <f>IFERROR(VLOOKUP(I197,'[1]ABC Master Lists'!$B$2:$I$346,8,FALSE)," ")</f>
        <v xml:space="preserve"> </v>
      </c>
      <c r="L197" s="121" t="str">
        <f>IFERROR(VLOOKUP(J197,'[1]ABC Master Lists'!$AQ$2:$AS$12,3,FALSE)," ")</f>
        <v xml:space="preserve"> </v>
      </c>
      <c r="M197" s="121" t="str">
        <f>IFERROR(VLOOKUP(K197,'[1]ABC Master Lists'!$AD$2:$AE$22,2,FALSE), " ")</f>
        <v xml:space="preserve"> </v>
      </c>
    </row>
    <row r="198" spans="4:13" x14ac:dyDescent="0.25">
      <c r="D198" s="26">
        <v>21</v>
      </c>
      <c r="E198" s="40" t="s">
        <v>58</v>
      </c>
      <c r="F198" s="5">
        <v>9</v>
      </c>
      <c r="G198" s="42" t="s">
        <v>7</v>
      </c>
      <c r="H198" s="41" t="s">
        <v>5</v>
      </c>
      <c r="I198" s="36">
        <v>36</v>
      </c>
      <c r="J198" s="79">
        <f>IFERROR(VLOOKUP(I198,'[1]ABC Master Lists'!$B$2:$I$346,4,FALSE)," ")</f>
        <v>208</v>
      </c>
      <c r="K198" s="79">
        <f>IFERROR(VLOOKUP(I198,'[1]ABC Master Lists'!$B$2:$I$346,8,FALSE)," ")</f>
        <v>68</v>
      </c>
      <c r="L198" s="118" t="str">
        <f>IFERROR(VLOOKUP(J198,'[1]ABC Master Lists'!$AQ$2:$AS$12,3,FALSE)," ")</f>
        <v xml:space="preserve"> </v>
      </c>
      <c r="M198" s="118" t="str">
        <f>IFERROR(VLOOKUP(K198,'[1]ABC Master Lists'!$AD$2:$AE$22,2,FALSE), " ")</f>
        <v>+</v>
      </c>
    </row>
    <row r="199" spans="4:13" x14ac:dyDescent="0.25">
      <c r="E199" s="52" t="s">
        <v>8</v>
      </c>
      <c r="F199" s="5">
        <v>0.25</v>
      </c>
      <c r="G199" s="32" t="s">
        <v>9</v>
      </c>
      <c r="H199" s="41" t="s">
        <v>5</v>
      </c>
      <c r="J199" s="79" t="str">
        <f>IFERROR(VLOOKUP(I199,'[1]ABC Master Lists'!$B$2:$I$346,4,FALSE)," ")</f>
        <v xml:space="preserve"> </v>
      </c>
      <c r="K199" s="79" t="str">
        <f>IFERROR(VLOOKUP(I199,'[1]ABC Master Lists'!$B$2:$I$346,8,FALSE)," ")</f>
        <v xml:space="preserve"> </v>
      </c>
      <c r="L199" s="118" t="str">
        <f>IFERROR(VLOOKUP(J199,'[1]ABC Master Lists'!$AQ$2:$AS$12,3,FALSE)," ")</f>
        <v xml:space="preserve"> </v>
      </c>
      <c r="M199" s="118" t="str">
        <f>IFERROR(VLOOKUP(K199,'[1]ABC Master Lists'!$AD$2:$AE$22,2,FALSE), " ")</f>
        <v xml:space="preserve"> </v>
      </c>
    </row>
    <row r="200" spans="4:13" x14ac:dyDescent="0.25">
      <c r="E200" s="40" t="s">
        <v>56</v>
      </c>
      <c r="F200" s="5">
        <v>6.8</v>
      </c>
      <c r="G200" s="42" t="s">
        <v>7</v>
      </c>
      <c r="H200" s="41" t="s">
        <v>20</v>
      </c>
      <c r="J200" s="79" t="str">
        <f>IFERROR(VLOOKUP(I200,'[1]ABC Master Lists'!$B$2:$I$346,4,FALSE)," ")</f>
        <v xml:space="preserve"> </v>
      </c>
      <c r="K200" s="79" t="str">
        <f>IFERROR(VLOOKUP(I200,'[1]ABC Master Lists'!$B$2:$I$346,8,FALSE)," ")</f>
        <v xml:space="preserve"> </v>
      </c>
      <c r="L200" s="118" t="str">
        <f>IFERROR(VLOOKUP(J200,'[1]ABC Master Lists'!$AQ$2:$AS$12,3,FALSE)," ")</f>
        <v xml:space="preserve"> </v>
      </c>
      <c r="M200" s="118" t="str">
        <f>IFERROR(VLOOKUP(K200,'[1]ABC Master Lists'!$AD$2:$AE$22,2,FALSE), " ")</f>
        <v xml:space="preserve"> </v>
      </c>
    </row>
    <row r="201" spans="4:13" x14ac:dyDescent="0.25">
      <c r="E201" s="52" t="s">
        <v>8</v>
      </c>
      <c r="F201" s="5">
        <v>0.25</v>
      </c>
      <c r="G201" s="32" t="s">
        <v>9</v>
      </c>
      <c r="H201" s="41" t="s">
        <v>20</v>
      </c>
      <c r="J201" s="79" t="str">
        <f>IFERROR(VLOOKUP(I201,'[1]ABC Master Lists'!$B$2:$I$346,4,FALSE)," ")</f>
        <v xml:space="preserve"> </v>
      </c>
      <c r="K201" s="79" t="str">
        <f>IFERROR(VLOOKUP(I201,'[1]ABC Master Lists'!$B$2:$I$346,8,FALSE)," ")</f>
        <v xml:space="preserve"> </v>
      </c>
      <c r="L201" s="118" t="str">
        <f>IFERROR(VLOOKUP(J201,'[1]ABC Master Lists'!$AQ$2:$AS$12,3,FALSE)," ")</f>
        <v xml:space="preserve"> </v>
      </c>
      <c r="M201" s="118" t="str">
        <f>IFERROR(VLOOKUP(K201,'[1]ABC Master Lists'!$AD$2:$AE$22,2,FALSE), " ")</f>
        <v xml:space="preserve"> </v>
      </c>
    </row>
    <row r="202" spans="4:13" x14ac:dyDescent="0.25">
      <c r="D202" s="28">
        <v>22</v>
      </c>
      <c r="E202" s="43" t="s">
        <v>58</v>
      </c>
      <c r="F202" s="94">
        <v>6</v>
      </c>
      <c r="G202" s="48" t="s">
        <v>7</v>
      </c>
      <c r="H202" s="44" t="s">
        <v>5</v>
      </c>
      <c r="I202" s="38">
        <v>13</v>
      </c>
      <c r="J202" s="83">
        <f>IFERROR(VLOOKUP(I202,'[1]ABC Master Lists'!$B$2:$I$346,4,FALSE)," ")</f>
        <v>20</v>
      </c>
      <c r="K202" s="83">
        <f>IFERROR(VLOOKUP(I202,'[1]ABC Master Lists'!$B$2:$I$346,8,FALSE)," ")</f>
        <v>68</v>
      </c>
      <c r="L202" s="122" t="str">
        <f>IFERROR(VLOOKUP(J202,'[1]ABC Master Lists'!$AQ$2:$AS$12,3,FALSE)," ")</f>
        <v>+</v>
      </c>
      <c r="M202" s="122" t="str">
        <f>IFERROR(VLOOKUP(K202,'[1]ABC Master Lists'!$AD$2:$AE$22,2,FALSE), " ")</f>
        <v>+</v>
      </c>
    </row>
    <row r="203" spans="4:13" x14ac:dyDescent="0.25">
      <c r="E203" s="52" t="s">
        <v>8</v>
      </c>
      <c r="F203" s="5">
        <v>0.25</v>
      </c>
      <c r="G203" s="32" t="s">
        <v>9</v>
      </c>
      <c r="H203" s="41" t="s">
        <v>5</v>
      </c>
      <c r="J203" s="79" t="str">
        <f>IFERROR(VLOOKUP(I203,'[1]ABC Master Lists'!$B$2:$I$346,4,FALSE)," ")</f>
        <v xml:space="preserve"> </v>
      </c>
      <c r="K203" s="79" t="str">
        <f>IFERROR(VLOOKUP(I203,'[1]ABC Master Lists'!$B$2:$I$346,8,FALSE)," ")</f>
        <v xml:space="preserve"> </v>
      </c>
      <c r="L203" s="118" t="str">
        <f>IFERROR(VLOOKUP(J203,'[1]ABC Master Lists'!$AQ$2:$AS$12,3,FALSE)," ")</f>
        <v xml:space="preserve"> </v>
      </c>
      <c r="M203" s="118" t="str">
        <f>IFERROR(VLOOKUP(K203,'[1]ABC Master Lists'!$AD$2:$AE$22,2,FALSE), " ")</f>
        <v xml:space="preserve"> </v>
      </c>
    </row>
    <row r="204" spans="4:13" x14ac:dyDescent="0.25">
      <c r="E204" s="40" t="s">
        <v>58</v>
      </c>
      <c r="F204" s="5">
        <v>6</v>
      </c>
      <c r="G204" s="42" t="s">
        <v>7</v>
      </c>
      <c r="H204" s="41" t="s">
        <v>20</v>
      </c>
      <c r="J204" s="79" t="str">
        <f>IFERROR(VLOOKUP(I204,'[1]ABC Master Lists'!$B$2:$I$346,4,FALSE)," ")</f>
        <v xml:space="preserve"> </v>
      </c>
      <c r="K204" s="79" t="str">
        <f>IFERROR(VLOOKUP(I204,'[1]ABC Master Lists'!$B$2:$I$346,8,FALSE)," ")</f>
        <v xml:space="preserve"> </v>
      </c>
      <c r="L204" s="118" t="str">
        <f>IFERROR(VLOOKUP(J204,'[1]ABC Master Lists'!$AQ$2:$AS$12,3,FALSE)," ")</f>
        <v xml:space="preserve"> </v>
      </c>
      <c r="M204" s="118" t="str">
        <f>IFERROR(VLOOKUP(K204,'[1]ABC Master Lists'!$AD$2:$AE$22,2,FALSE), " ")</f>
        <v xml:space="preserve"> </v>
      </c>
    </row>
    <row r="205" spans="4:13" x14ac:dyDescent="0.25">
      <c r="D205" s="29"/>
      <c r="E205" s="99" t="s">
        <v>8</v>
      </c>
      <c r="F205" s="123">
        <v>0.25</v>
      </c>
      <c r="G205" s="35" t="s">
        <v>9</v>
      </c>
      <c r="H205" s="47" t="s">
        <v>20</v>
      </c>
      <c r="I205" s="39"/>
      <c r="J205" s="82" t="str">
        <f>IFERROR(VLOOKUP(I205,'[1]ABC Master Lists'!$B$2:$I$346,4,FALSE)," ")</f>
        <v xml:space="preserve"> </v>
      </c>
      <c r="K205" s="82" t="str">
        <f>IFERROR(VLOOKUP(I205,'[1]ABC Master Lists'!$B$2:$I$346,8,FALSE)," ")</f>
        <v xml:space="preserve"> </v>
      </c>
      <c r="L205" s="121" t="str">
        <f>IFERROR(VLOOKUP(J205,'[1]ABC Master Lists'!$AQ$2:$AS$12,3,FALSE)," ")</f>
        <v xml:space="preserve"> </v>
      </c>
      <c r="M205" s="121" t="str">
        <f>IFERROR(VLOOKUP(K205,'[1]ABC Master Lists'!$AD$2:$AE$22,2,FALSE), " ")</f>
        <v xml:space="preserve"> </v>
      </c>
    </row>
    <row r="206" spans="4:13" x14ac:dyDescent="0.25">
      <c r="D206" s="26">
        <v>23</v>
      </c>
      <c r="E206" s="40" t="s">
        <v>58</v>
      </c>
      <c r="F206" s="5">
        <v>9</v>
      </c>
      <c r="G206" s="42" t="s">
        <v>7</v>
      </c>
      <c r="H206" s="41" t="s">
        <v>5</v>
      </c>
      <c r="I206" s="36">
        <v>23</v>
      </c>
      <c r="J206" s="79">
        <f>IFERROR(VLOOKUP(I206,'[1]ABC Master Lists'!$B$2:$I$346,4,FALSE)," ")</f>
        <v>20</v>
      </c>
      <c r="K206" s="79">
        <f>IFERROR(VLOOKUP(I206,'[1]ABC Master Lists'!$B$2:$I$346,8,FALSE)," ")</f>
        <v>68</v>
      </c>
      <c r="L206" s="118" t="str">
        <f>IFERROR(VLOOKUP(J206,'[1]ABC Master Lists'!$AQ$2:$AS$12,3,FALSE)," ")</f>
        <v>+</v>
      </c>
      <c r="M206" s="118" t="str">
        <f>IFERROR(VLOOKUP(K206,'[1]ABC Master Lists'!$AD$2:$AE$22,2,FALSE), " ")</f>
        <v>+</v>
      </c>
    </row>
    <row r="207" spans="4:13" x14ac:dyDescent="0.25">
      <c r="E207" s="52" t="s">
        <v>8</v>
      </c>
      <c r="F207" s="5">
        <v>0.25</v>
      </c>
      <c r="G207" s="32" t="s">
        <v>9</v>
      </c>
      <c r="H207" s="41" t="s">
        <v>5</v>
      </c>
      <c r="J207" s="79" t="str">
        <f>IFERROR(VLOOKUP(I207,'[1]ABC Master Lists'!$B$2:$I$346,4,FALSE)," ")</f>
        <v xml:space="preserve"> </v>
      </c>
      <c r="K207" s="79" t="str">
        <f>IFERROR(VLOOKUP(I207,'[1]ABC Master Lists'!$B$2:$I$346,8,FALSE)," ")</f>
        <v xml:space="preserve"> </v>
      </c>
      <c r="L207" s="118" t="str">
        <f>IFERROR(VLOOKUP(J207,'[1]ABC Master Lists'!$AQ$2:$AS$12,3,FALSE)," ")</f>
        <v xml:space="preserve"> </v>
      </c>
      <c r="M207" s="118" t="str">
        <f>IFERROR(VLOOKUP(K207,'[1]ABC Master Lists'!$AD$2:$AE$22,2,FALSE), " ")</f>
        <v xml:space="preserve"> </v>
      </c>
    </row>
    <row r="208" spans="4:13" x14ac:dyDescent="0.25">
      <c r="E208" s="40" t="s">
        <v>58</v>
      </c>
      <c r="F208" s="5">
        <v>9</v>
      </c>
      <c r="G208" s="42" t="s">
        <v>7</v>
      </c>
      <c r="H208" s="41" t="s">
        <v>20</v>
      </c>
      <c r="J208" s="79" t="str">
        <f>IFERROR(VLOOKUP(I208,'[1]ABC Master Lists'!$B$2:$I$346,4,FALSE)," ")</f>
        <v xml:space="preserve"> </v>
      </c>
      <c r="K208" s="79" t="str">
        <f>IFERROR(VLOOKUP(I208,'[1]ABC Master Lists'!$B$2:$I$346,8,FALSE)," ")</f>
        <v xml:space="preserve"> </v>
      </c>
      <c r="L208" s="118" t="str">
        <f>IFERROR(VLOOKUP(J208,'[1]ABC Master Lists'!$AQ$2:$AS$12,3,FALSE)," ")</f>
        <v xml:space="preserve"> </v>
      </c>
      <c r="M208" s="118" t="str">
        <f>IFERROR(VLOOKUP(K208,'[1]ABC Master Lists'!$AD$2:$AE$22,2,FALSE), " ")</f>
        <v xml:space="preserve"> </v>
      </c>
    </row>
    <row r="209" spans="1:13" x14ac:dyDescent="0.25">
      <c r="E209" s="52" t="s">
        <v>8</v>
      </c>
      <c r="F209" s="5">
        <v>0.25</v>
      </c>
      <c r="G209" s="32" t="s">
        <v>9</v>
      </c>
      <c r="H209" s="41" t="s">
        <v>20</v>
      </c>
      <c r="J209" s="79" t="str">
        <f>IFERROR(VLOOKUP(I209,'[1]ABC Master Lists'!$B$2:$I$346,4,FALSE)," ")</f>
        <v xml:space="preserve"> </v>
      </c>
      <c r="K209" s="79" t="str">
        <f>IFERROR(VLOOKUP(I209,'[1]ABC Master Lists'!$B$2:$I$346,8,FALSE)," ")</f>
        <v xml:space="preserve"> </v>
      </c>
      <c r="L209" s="118" t="str">
        <f>IFERROR(VLOOKUP(J209,'[1]ABC Master Lists'!$AQ$2:$AS$12,3,FALSE)," ")</f>
        <v xml:space="preserve"> </v>
      </c>
      <c r="M209" s="118" t="str">
        <f>IFERROR(VLOOKUP(K209,'[1]ABC Master Lists'!$AD$2:$AE$22,2,FALSE), " ")</f>
        <v xml:space="preserve"> </v>
      </c>
    </row>
    <row r="210" spans="1:13" x14ac:dyDescent="0.25">
      <c r="D210" s="28">
        <v>24</v>
      </c>
      <c r="E210" s="43" t="s">
        <v>13</v>
      </c>
      <c r="F210" s="94">
        <v>3</v>
      </c>
      <c r="G210" s="48" t="s">
        <v>7</v>
      </c>
      <c r="H210" s="44" t="s">
        <v>5</v>
      </c>
      <c r="I210" s="38">
        <v>168</v>
      </c>
      <c r="J210" s="83">
        <f>IFERROR(VLOOKUP(I210,'[1]ABC Master Lists'!$B$2:$I$346,4,FALSE)," ")</f>
        <v>2229</v>
      </c>
      <c r="K210" s="83">
        <f>IFERROR(VLOOKUP(I210,'[1]ABC Master Lists'!$B$2:$I$346,8,FALSE)," ")</f>
        <v>68</v>
      </c>
      <c r="L210" s="122" t="str">
        <f>IFERROR(VLOOKUP(J210,'[1]ABC Master Lists'!$AQ$2:$AS$12,3,FALSE)," ")</f>
        <v>+</v>
      </c>
      <c r="M210" s="122" t="str">
        <f>IFERROR(VLOOKUP(K210,'[1]ABC Master Lists'!$AD$2:$AE$22,2,FALSE), " ")</f>
        <v>+</v>
      </c>
    </row>
    <row r="211" spans="1:13" x14ac:dyDescent="0.25">
      <c r="D211" s="29"/>
      <c r="E211" s="45" t="s">
        <v>28</v>
      </c>
      <c r="F211" s="123">
        <v>4.6500000000000004</v>
      </c>
      <c r="G211" s="46" t="s">
        <v>7</v>
      </c>
      <c r="H211" s="39" t="s">
        <v>20</v>
      </c>
      <c r="I211" s="39"/>
      <c r="J211" s="82" t="str">
        <f>IFERROR(VLOOKUP(I211,'[1]ABC Master Lists'!$B$2:$I$346,4,FALSE)," ")</f>
        <v xml:space="preserve"> </v>
      </c>
      <c r="K211" s="82" t="str">
        <f>IFERROR(VLOOKUP(I211,'[1]ABC Master Lists'!$B$2:$I$346,8,FALSE)," ")</f>
        <v xml:space="preserve"> </v>
      </c>
      <c r="L211" s="121" t="str">
        <f>IFERROR(VLOOKUP(J211,'[1]ABC Master Lists'!$AQ$2:$AS$12,3,FALSE)," ")</f>
        <v xml:space="preserve"> </v>
      </c>
      <c r="M211" s="121" t="str">
        <f>IFERROR(VLOOKUP(K211,'[1]ABC Master Lists'!$AD$2:$AE$22,2,FALSE), " ")</f>
        <v xml:space="preserve"> </v>
      </c>
    </row>
    <row r="212" spans="1:13" x14ac:dyDescent="0.25">
      <c r="D212" s="26">
        <v>25</v>
      </c>
      <c r="E212" s="24" t="s">
        <v>13</v>
      </c>
      <c r="F212" s="5">
        <v>5</v>
      </c>
      <c r="G212" s="32" t="s">
        <v>7</v>
      </c>
      <c r="H212" s="36" t="s">
        <v>5</v>
      </c>
      <c r="I212" s="36">
        <v>158</v>
      </c>
      <c r="J212" s="79">
        <f>IFERROR(VLOOKUP(I212,'[1]ABC Master Lists'!$B$2:$I$346,4,FALSE)," ")</f>
        <v>22</v>
      </c>
      <c r="K212" s="79">
        <f>IFERROR(VLOOKUP(I212,'[1]ABC Master Lists'!$B$2:$I$346,8,FALSE)," ")</f>
        <v>3</v>
      </c>
      <c r="L212" s="118" t="str">
        <f>IFERROR(VLOOKUP(J212,'[1]ABC Master Lists'!$AQ$2:$AS$12,3,FALSE)," ")</f>
        <v>+</v>
      </c>
    </row>
    <row r="213" spans="1:13" x14ac:dyDescent="0.25">
      <c r="D213" s="28">
        <v>26</v>
      </c>
      <c r="E213" s="43" t="s">
        <v>13</v>
      </c>
      <c r="F213" s="94">
        <v>3</v>
      </c>
      <c r="G213" s="48" t="s">
        <v>7</v>
      </c>
      <c r="H213" s="44" t="s">
        <v>5</v>
      </c>
      <c r="I213" s="38">
        <v>165</v>
      </c>
      <c r="J213" s="83">
        <f>IFERROR(VLOOKUP(I213,'[1]ABC Master Lists'!$B$2:$I$346,4,FALSE)," ")</f>
        <v>2229</v>
      </c>
      <c r="K213" s="83">
        <f>IFERROR(VLOOKUP(I213,'[1]ABC Master Lists'!$B$2:$I$346,8,FALSE)," ")</f>
        <v>6</v>
      </c>
      <c r="L213" s="122" t="str">
        <f>IFERROR(VLOOKUP(J213,'[1]ABC Master Lists'!$AQ$2:$AS$12,3,FALSE)," ")</f>
        <v>+</v>
      </c>
      <c r="M213" s="122" t="str">
        <f>IFERROR(VLOOKUP(K213,'[1]ABC Master Lists'!$AD$2:$AE$22,2,FALSE), " ")</f>
        <v>+</v>
      </c>
    </row>
    <row r="214" spans="1:13" x14ac:dyDescent="0.25">
      <c r="E214" s="52" t="s">
        <v>8</v>
      </c>
      <c r="F214" s="5">
        <v>0.125</v>
      </c>
      <c r="G214" s="32" t="s">
        <v>54</v>
      </c>
      <c r="H214" s="41" t="s">
        <v>5</v>
      </c>
      <c r="J214" s="79" t="str">
        <f>IFERROR(VLOOKUP(I214,'[1]ABC Master Lists'!$B$2:$I$346,4,FALSE)," ")</f>
        <v xml:space="preserve"> </v>
      </c>
      <c r="K214" s="79" t="str">
        <f>IFERROR(VLOOKUP(I214,'[1]ABC Master Lists'!$B$2:$I$346,8,FALSE)," ")</f>
        <v xml:space="preserve"> </v>
      </c>
      <c r="L214" s="118" t="str">
        <f>IFERROR(VLOOKUP(J214,'[1]ABC Master Lists'!$AQ$2:$AS$12,3,FALSE)," ")</f>
        <v xml:space="preserve"> </v>
      </c>
      <c r="M214" s="118" t="str">
        <f>IFERROR(VLOOKUP(K214,'[1]ABC Master Lists'!$AD$2:$AE$22,2,FALSE), " ")</f>
        <v xml:space="preserve"> </v>
      </c>
    </row>
    <row r="215" spans="1:13" x14ac:dyDescent="0.25">
      <c r="D215" s="29"/>
      <c r="E215" s="25" t="s">
        <v>28</v>
      </c>
      <c r="F215" s="123">
        <v>4</v>
      </c>
      <c r="G215" s="35" t="s">
        <v>7</v>
      </c>
      <c r="H215" s="39" t="s">
        <v>5</v>
      </c>
      <c r="I215" s="39"/>
      <c r="J215" s="82" t="str">
        <f>IFERROR(VLOOKUP(I215,'[1]ABC Master Lists'!$B$2:$I$346,4,FALSE)," ")</f>
        <v xml:space="preserve"> </v>
      </c>
      <c r="K215" s="82" t="str">
        <f>IFERROR(VLOOKUP(I215,'[1]ABC Master Lists'!$B$2:$I$346,8,FALSE)," ")</f>
        <v xml:space="preserve"> </v>
      </c>
      <c r="L215" s="121" t="str">
        <f>IFERROR(VLOOKUP(J215,'[1]ABC Master Lists'!$AQ$2:$AS$12,3,FALSE)," ")</f>
        <v xml:space="preserve"> </v>
      </c>
      <c r="M215" s="121" t="str">
        <f>IFERROR(VLOOKUP(K215,'[1]ABC Master Lists'!$AD$2:$AE$22,2,FALSE), " ")</f>
        <v xml:space="preserve"> </v>
      </c>
    </row>
    <row r="216" spans="1:13" x14ac:dyDescent="0.25">
      <c r="D216" s="26">
        <v>27</v>
      </c>
      <c r="E216" s="24" t="s">
        <v>13</v>
      </c>
      <c r="F216" s="5">
        <v>5</v>
      </c>
      <c r="G216" s="32" t="s">
        <v>7</v>
      </c>
      <c r="H216" s="36" t="s">
        <v>5</v>
      </c>
      <c r="I216" s="36">
        <v>234</v>
      </c>
      <c r="J216" s="79">
        <f>IFERROR(VLOOKUP(I216,'[1]ABC Master Lists'!$B$2:$I$346,4,FALSE)," ")</f>
        <v>2229</v>
      </c>
      <c r="K216" s="79">
        <f>IFERROR(VLOOKUP(I216,'[1]ABC Master Lists'!$B$2:$I$346,8,FALSE)," ")</f>
        <v>6</v>
      </c>
      <c r="L216" s="118" t="str">
        <f>IFERROR(VLOOKUP(J216,'[1]ABC Master Lists'!$AQ$2:$AS$12,3,FALSE)," ")</f>
        <v>+</v>
      </c>
      <c r="M216" s="118" t="str">
        <f>IFERROR(VLOOKUP(K216,'[1]ABC Master Lists'!$AD$2:$AE$22,2,FALSE), " ")</f>
        <v>+</v>
      </c>
    </row>
    <row r="217" spans="1:13" x14ac:dyDescent="0.25">
      <c r="E217" s="51" t="s">
        <v>8</v>
      </c>
      <c r="F217" s="5">
        <v>0.125</v>
      </c>
      <c r="G217" s="42" t="s">
        <v>54</v>
      </c>
      <c r="H217" s="36" t="s">
        <v>5</v>
      </c>
      <c r="J217" s="79" t="str">
        <f>IFERROR(VLOOKUP(I217,'[1]ABC Master Lists'!$B$2:$I$346,4,FALSE)," ")</f>
        <v xml:space="preserve"> </v>
      </c>
      <c r="K217" s="79" t="str">
        <f>IFERROR(VLOOKUP(I217,'[1]ABC Master Lists'!$B$2:$I$346,8,FALSE)," ")</f>
        <v xml:space="preserve"> </v>
      </c>
      <c r="L217" s="118" t="str">
        <f>IFERROR(VLOOKUP(J217,'[1]ABC Master Lists'!$AQ$2:$AS$12,3,FALSE)," ")</f>
        <v xml:space="preserve"> </v>
      </c>
      <c r="M217" s="118" t="str">
        <f>IFERROR(VLOOKUP(K217,'[1]ABC Master Lists'!$AD$2:$AE$22,2,FALSE), " ")</f>
        <v xml:space="preserve"> </v>
      </c>
    </row>
    <row r="218" spans="1:13" x14ac:dyDescent="0.25">
      <c r="E218" s="24" t="s">
        <v>28</v>
      </c>
      <c r="F218" s="5">
        <v>4.6500000000000004</v>
      </c>
      <c r="G218" s="32" t="s">
        <v>7</v>
      </c>
      <c r="H218" s="36" t="s">
        <v>5</v>
      </c>
      <c r="J218" s="79" t="str">
        <f>IFERROR(VLOOKUP(I218,'[1]ABC Master Lists'!$B$2:$I$346,4,FALSE)," ")</f>
        <v xml:space="preserve"> </v>
      </c>
      <c r="K218" s="79" t="str">
        <f>IFERROR(VLOOKUP(I218,'[1]ABC Master Lists'!$B$2:$I$346,8,FALSE)," ")</f>
        <v xml:space="preserve"> </v>
      </c>
      <c r="L218" s="118" t="str">
        <f>IFERROR(VLOOKUP(J218,'[1]ABC Master Lists'!$AQ$2:$AS$12,3,FALSE)," ")</f>
        <v xml:space="preserve"> </v>
      </c>
      <c r="M218" s="118" t="str">
        <f>IFERROR(VLOOKUP(K218,'[1]ABC Master Lists'!$AD$2:$AE$22,2,FALSE), " ")</f>
        <v xml:space="preserve"> </v>
      </c>
    </row>
    <row r="219" spans="1:13" x14ac:dyDescent="0.25">
      <c r="D219" s="28">
        <v>28</v>
      </c>
      <c r="E219" s="43" t="s">
        <v>6</v>
      </c>
      <c r="F219" s="94">
        <v>9</v>
      </c>
      <c r="G219" s="48" t="s">
        <v>7</v>
      </c>
      <c r="H219" s="44" t="s">
        <v>20</v>
      </c>
      <c r="I219" s="38">
        <v>19</v>
      </c>
      <c r="J219" s="83">
        <f>IFERROR(VLOOKUP(I219,'[1]ABC Master Lists'!$B$2:$I$346,4,FALSE)," ")</f>
        <v>20</v>
      </c>
      <c r="K219" s="83">
        <f>IFERROR(VLOOKUP(I219,'[1]ABC Master Lists'!$B$2:$I$346,8,FALSE)," ")</f>
        <v>8</v>
      </c>
      <c r="L219" s="122" t="str">
        <f>IFERROR(VLOOKUP(J219,'[1]ABC Master Lists'!$AQ$2:$AS$12,3,FALSE)," ")</f>
        <v>+</v>
      </c>
      <c r="M219" s="122" t="str">
        <f>IFERROR(VLOOKUP(K219,'[1]ABC Master Lists'!$AD$2:$AE$22,2,FALSE), " ")</f>
        <v>+</v>
      </c>
    </row>
    <row r="220" spans="1:13" x14ac:dyDescent="0.25">
      <c r="D220" s="29"/>
      <c r="E220" s="100" t="s">
        <v>8</v>
      </c>
      <c r="F220" s="123">
        <v>0.25</v>
      </c>
      <c r="G220" s="46" t="s">
        <v>9</v>
      </c>
      <c r="H220" s="47" t="s">
        <v>20</v>
      </c>
      <c r="I220" s="39"/>
      <c r="J220" s="82" t="str">
        <f>IFERROR(VLOOKUP(I220,'[1]ABC Master Lists'!$B$2:$I$346,4,FALSE)," ")</f>
        <v xml:space="preserve"> </v>
      </c>
      <c r="K220" s="82" t="str">
        <f>IFERROR(VLOOKUP(I220,'[1]ABC Master Lists'!$B$2:$I$346,8,FALSE)," ")</f>
        <v xml:space="preserve"> </v>
      </c>
      <c r="L220" s="121" t="str">
        <f>IFERROR(VLOOKUP(J220,'[1]ABC Master Lists'!$AQ$2:$AS$12,3,FALSE)," ")</f>
        <v xml:space="preserve"> </v>
      </c>
      <c r="M220" s="121" t="str">
        <f>IFERROR(VLOOKUP(K220,'[1]ABC Master Lists'!$AD$2:$AE$22,2,FALSE), " ")</f>
        <v xml:space="preserve"> </v>
      </c>
    </row>
    <row r="221" spans="1:13" x14ac:dyDescent="0.25">
      <c r="A221" s="31">
        <v>2014</v>
      </c>
      <c r="B221" s="31" t="s">
        <v>159</v>
      </c>
      <c r="C221" s="31" t="s">
        <v>160</v>
      </c>
      <c r="D221" s="54">
        <v>1</v>
      </c>
      <c r="E221" s="61" t="s">
        <v>59</v>
      </c>
      <c r="F221" s="5" t="s">
        <v>2</v>
      </c>
      <c r="G221" s="49" t="s">
        <v>2</v>
      </c>
      <c r="H221" s="50" t="s">
        <v>2</v>
      </c>
      <c r="I221" s="36">
        <v>2</v>
      </c>
      <c r="J221" s="79" t="str">
        <f>IFERROR(VLOOKUP(I221,'[1]ABC Master Lists'!$B$2:$I$346,4,FALSE)," ")</f>
        <v>.</v>
      </c>
      <c r="K221" s="79" t="str">
        <f>IFERROR(VLOOKUP(I221,'[1]ABC Master Lists'!$B$2:$I$346,8,FALSE)," ")</f>
        <v>.</v>
      </c>
      <c r="L221" s="118" t="str">
        <f>IFERROR(VLOOKUP(J221,'[1]ABC Master Lists'!$AQ$2:$AS$12,3,FALSE)," ")</f>
        <v>+</v>
      </c>
      <c r="M221" s="118" t="str">
        <f>IFERROR(VLOOKUP(K221,'[1]ABC Master Lists'!$AD$2:$AE$22,2,FALSE), " ")</f>
        <v>+</v>
      </c>
    </row>
    <row r="222" spans="1:13" x14ac:dyDescent="0.25">
      <c r="D222" s="131">
        <v>2</v>
      </c>
      <c r="E222" s="132" t="s">
        <v>1</v>
      </c>
      <c r="F222" s="93" t="s">
        <v>2</v>
      </c>
      <c r="G222" s="133" t="s">
        <v>2</v>
      </c>
      <c r="H222" s="134" t="s">
        <v>2</v>
      </c>
      <c r="I222" s="37">
        <v>1</v>
      </c>
      <c r="J222" s="81" t="str">
        <f>IFERROR(VLOOKUP(I222,'[1]ABC Master Lists'!$B$2:$I$346,4,FALSE)," ")</f>
        <v>.</v>
      </c>
      <c r="K222" s="81" t="str">
        <f>IFERROR(VLOOKUP(I222,'[1]ABC Master Lists'!$B$2:$I$346,8,FALSE)," ")</f>
        <v>.</v>
      </c>
      <c r="L222" s="120" t="str">
        <f>IFERROR(VLOOKUP(J222,'[1]ABC Master Lists'!$AQ$2:$AS$12,3,FALSE)," ")</f>
        <v>+</v>
      </c>
      <c r="M222" s="120" t="str">
        <f>IFERROR(VLOOKUP(K222,'[1]ABC Master Lists'!$AD$2:$AE$22,2,FALSE), " ")</f>
        <v>+</v>
      </c>
    </row>
    <row r="223" spans="1:13" x14ac:dyDescent="0.25">
      <c r="D223" s="54">
        <v>3</v>
      </c>
      <c r="E223" s="62" t="s">
        <v>6</v>
      </c>
      <c r="F223" s="13">
        <v>9</v>
      </c>
      <c r="G223" s="56" t="s">
        <v>7</v>
      </c>
      <c r="H223" s="63" t="s">
        <v>5</v>
      </c>
      <c r="I223" s="36">
        <v>23</v>
      </c>
      <c r="J223" s="79">
        <f>IFERROR(VLOOKUP(I223,'[1]ABC Master Lists'!$B$2:$I$346,4,FALSE)," ")</f>
        <v>20</v>
      </c>
      <c r="K223" s="79">
        <f>IFERROR(VLOOKUP(I223,'[1]ABC Master Lists'!$B$2:$I$346,8,FALSE)," ")</f>
        <v>68</v>
      </c>
      <c r="L223" s="118" t="str">
        <f>IFERROR(VLOOKUP(J223,'[1]ABC Master Lists'!$AQ$2:$AS$12,3,FALSE)," ")</f>
        <v>+</v>
      </c>
      <c r="M223" s="118" t="str">
        <f>IFERROR(VLOOKUP(K223,'[1]ABC Master Lists'!$AD$2:$AE$22,2,FALSE), " ")</f>
        <v>+</v>
      </c>
    </row>
    <row r="224" spans="1:13" x14ac:dyDescent="0.25">
      <c r="D224" s="54"/>
      <c r="E224" s="52" t="s">
        <v>8</v>
      </c>
      <c r="F224" s="13">
        <v>0.125</v>
      </c>
      <c r="G224" s="56" t="s">
        <v>54</v>
      </c>
      <c r="H224" s="63" t="s">
        <v>5</v>
      </c>
      <c r="J224" s="79" t="str">
        <f>IFERROR(VLOOKUP(I224,'[1]ABC Master Lists'!$B$2:$I$346,4,FALSE)," ")</f>
        <v xml:space="preserve"> </v>
      </c>
      <c r="K224" s="79" t="str">
        <f>IFERROR(VLOOKUP(I224,'[1]ABC Master Lists'!$B$2:$I$346,8,FALSE)," ")</f>
        <v xml:space="preserve"> </v>
      </c>
      <c r="L224" s="118" t="str">
        <f>IFERROR(VLOOKUP(J224,'[1]ABC Master Lists'!$AQ$2:$AS$12,3,FALSE)," ")</f>
        <v xml:space="preserve"> </v>
      </c>
      <c r="M224" s="118" t="str">
        <f>IFERROR(VLOOKUP(K224,'[1]ABC Master Lists'!$AD$2:$AE$22,2,FALSE), " ")</f>
        <v xml:space="preserve"> </v>
      </c>
    </row>
    <row r="225" spans="4:13" x14ac:dyDescent="0.25">
      <c r="D225" s="54"/>
      <c r="E225" s="62" t="s">
        <v>6</v>
      </c>
      <c r="F225" s="13">
        <v>9</v>
      </c>
      <c r="G225" s="56" t="s">
        <v>7</v>
      </c>
      <c r="H225" s="63" t="s">
        <v>20</v>
      </c>
      <c r="J225" s="79" t="str">
        <f>IFERROR(VLOOKUP(I225,'[1]ABC Master Lists'!$B$2:$I$346,4,FALSE)," ")</f>
        <v xml:space="preserve"> </v>
      </c>
      <c r="K225" s="79" t="str">
        <f>IFERROR(VLOOKUP(I225,'[1]ABC Master Lists'!$B$2:$I$346,8,FALSE)," ")</f>
        <v xml:space="preserve"> </v>
      </c>
      <c r="L225" s="118" t="str">
        <f>IFERROR(VLOOKUP(J225,'[1]ABC Master Lists'!$AQ$2:$AS$12,3,FALSE)," ")</f>
        <v xml:space="preserve"> </v>
      </c>
      <c r="M225" s="118" t="str">
        <f>IFERROR(VLOOKUP(K225,'[1]ABC Master Lists'!$AD$2:$AE$22,2,FALSE), " ")</f>
        <v xml:space="preserve"> </v>
      </c>
    </row>
    <row r="226" spans="4:13" x14ac:dyDescent="0.25">
      <c r="D226" s="54"/>
      <c r="E226" s="52" t="s">
        <v>8</v>
      </c>
      <c r="F226" s="13">
        <v>0.125</v>
      </c>
      <c r="G226" s="56" t="s">
        <v>54</v>
      </c>
      <c r="H226" s="63" t="s">
        <v>20</v>
      </c>
      <c r="J226" s="79" t="str">
        <f>IFERROR(VLOOKUP(I226,'[1]ABC Master Lists'!$B$2:$I$346,4,FALSE)," ")</f>
        <v xml:space="preserve"> </v>
      </c>
      <c r="K226" s="79" t="str">
        <f>IFERROR(VLOOKUP(I226,'[1]ABC Master Lists'!$B$2:$I$346,8,FALSE)," ")</f>
        <v xml:space="preserve"> </v>
      </c>
      <c r="L226" s="118" t="str">
        <f>IFERROR(VLOOKUP(J226,'[1]ABC Master Lists'!$AQ$2:$AS$12,3,FALSE)," ")</f>
        <v xml:space="preserve"> </v>
      </c>
      <c r="M226" s="118" t="str">
        <f>IFERROR(VLOOKUP(K226,'[1]ABC Master Lists'!$AD$2:$AE$22,2,FALSE), " ")</f>
        <v xml:space="preserve"> </v>
      </c>
    </row>
    <row r="227" spans="4:13" x14ac:dyDescent="0.25">
      <c r="D227" s="107">
        <v>4</v>
      </c>
      <c r="E227" s="150" t="s">
        <v>6</v>
      </c>
      <c r="F227" s="151">
        <v>9</v>
      </c>
      <c r="G227" s="110" t="s">
        <v>7</v>
      </c>
      <c r="H227" s="152" t="s">
        <v>5</v>
      </c>
      <c r="I227" s="38">
        <v>36</v>
      </c>
      <c r="J227" s="83">
        <f>IFERROR(VLOOKUP(I227,'[1]ABC Master Lists'!$B$2:$I$346,4,FALSE)," ")</f>
        <v>208</v>
      </c>
      <c r="K227" s="83">
        <f>IFERROR(VLOOKUP(I227,'[1]ABC Master Lists'!$B$2:$I$346,8,FALSE)," ")</f>
        <v>68</v>
      </c>
      <c r="L227" s="122" t="str">
        <f>IFERROR(VLOOKUP(J227,'[1]ABC Master Lists'!$AQ$2:$AS$12,3,FALSE)," ")</f>
        <v xml:space="preserve"> </v>
      </c>
      <c r="M227" s="122" t="str">
        <f>IFERROR(VLOOKUP(K227,'[1]ABC Master Lists'!$AD$2:$AE$22,2,FALSE), " ")</f>
        <v>+</v>
      </c>
    </row>
    <row r="228" spans="4:13" x14ac:dyDescent="0.25">
      <c r="D228" s="54"/>
      <c r="E228" s="52" t="s">
        <v>8</v>
      </c>
      <c r="F228" s="13">
        <v>0.125</v>
      </c>
      <c r="G228" s="56" t="s">
        <v>54</v>
      </c>
      <c r="H228" s="63" t="s">
        <v>5</v>
      </c>
      <c r="J228" s="79" t="str">
        <f>IFERROR(VLOOKUP(I228,'[1]ABC Master Lists'!$B$2:$I$346,4,FALSE)," ")</f>
        <v xml:space="preserve"> </v>
      </c>
      <c r="K228" s="79" t="str">
        <f>IFERROR(VLOOKUP(I228,'[1]ABC Master Lists'!$B$2:$I$346,8,FALSE)," ")</f>
        <v xml:space="preserve"> </v>
      </c>
      <c r="L228" s="118" t="str">
        <f>IFERROR(VLOOKUP(J228,'[1]ABC Master Lists'!$AQ$2:$AS$12,3,FALSE)," ")</f>
        <v xml:space="preserve"> </v>
      </c>
      <c r="M228" s="118" t="str">
        <f>IFERROR(VLOOKUP(K228,'[1]ABC Master Lists'!$AD$2:$AE$22,2,FALSE), " ")</f>
        <v xml:space="preserve"> </v>
      </c>
    </row>
    <row r="229" spans="4:13" x14ac:dyDescent="0.25">
      <c r="D229" s="54"/>
      <c r="E229" s="62" t="s">
        <v>56</v>
      </c>
      <c r="F229" s="13">
        <v>6.8</v>
      </c>
      <c r="G229" s="56" t="s">
        <v>7</v>
      </c>
      <c r="H229" s="63" t="s">
        <v>20</v>
      </c>
      <c r="J229" s="79" t="str">
        <f>IFERROR(VLOOKUP(I229,'[1]ABC Master Lists'!$B$2:$I$346,4,FALSE)," ")</f>
        <v xml:space="preserve"> </v>
      </c>
      <c r="K229" s="79" t="str">
        <f>IFERROR(VLOOKUP(I229,'[1]ABC Master Lists'!$B$2:$I$346,8,FALSE)," ")</f>
        <v xml:space="preserve"> </v>
      </c>
      <c r="L229" s="118" t="str">
        <f>IFERROR(VLOOKUP(J229,'[1]ABC Master Lists'!$AQ$2:$AS$12,3,FALSE)," ")</f>
        <v xml:space="preserve"> </v>
      </c>
      <c r="M229" s="118" t="str">
        <f>IFERROR(VLOOKUP(K229,'[1]ABC Master Lists'!$AD$2:$AE$22,2,FALSE), " ")</f>
        <v xml:space="preserve"> </v>
      </c>
    </row>
    <row r="230" spans="4:13" x14ac:dyDescent="0.25">
      <c r="D230" s="111"/>
      <c r="E230" s="99" t="s">
        <v>8</v>
      </c>
      <c r="F230" s="153">
        <v>0.125</v>
      </c>
      <c r="G230" s="114" t="s">
        <v>54</v>
      </c>
      <c r="H230" s="154" t="s">
        <v>20</v>
      </c>
      <c r="I230" s="39"/>
      <c r="J230" s="82" t="str">
        <f>IFERROR(VLOOKUP(I230,'[1]ABC Master Lists'!$B$2:$I$346,4,FALSE)," ")</f>
        <v xml:space="preserve"> </v>
      </c>
      <c r="K230" s="82" t="str">
        <f>IFERROR(VLOOKUP(I230,'[1]ABC Master Lists'!$B$2:$I$346,8,FALSE)," ")</f>
        <v xml:space="preserve"> </v>
      </c>
      <c r="L230" s="121" t="str">
        <f>IFERROR(VLOOKUP(J230,'[1]ABC Master Lists'!$AQ$2:$AS$12,3,FALSE)," ")</f>
        <v xml:space="preserve"> </v>
      </c>
      <c r="M230" s="121" t="str">
        <f>IFERROR(VLOOKUP(K230,'[1]ABC Master Lists'!$AD$2:$AE$22,2,FALSE), " ")</f>
        <v xml:space="preserve"> </v>
      </c>
    </row>
    <row r="231" spans="4:13" x14ac:dyDescent="0.25">
      <c r="D231" s="54">
        <v>5</v>
      </c>
      <c r="E231" s="64" t="s">
        <v>48</v>
      </c>
      <c r="F231" s="14">
        <v>5</v>
      </c>
      <c r="G231" s="65" t="s">
        <v>7</v>
      </c>
      <c r="H231" s="66" t="s">
        <v>5</v>
      </c>
      <c r="I231" s="36">
        <v>106</v>
      </c>
      <c r="J231" s="79">
        <f>IFERROR(VLOOKUP(I231,'[1]ABC Master Lists'!$B$2:$I$346,4,FALSE)," ")</f>
        <v>1415</v>
      </c>
      <c r="K231" s="79">
        <f>IFERROR(VLOOKUP(I231,'[1]ABC Master Lists'!$B$2:$I$346,8,FALSE)," ")</f>
        <v>6</v>
      </c>
      <c r="L231" s="118" t="str">
        <f>IFERROR(VLOOKUP(J231,'[1]ABC Master Lists'!$AQ$2:$AS$12,3,FALSE)," ")</f>
        <v>+</v>
      </c>
      <c r="M231" s="118" t="str">
        <f>IFERROR(VLOOKUP(K231,'[1]ABC Master Lists'!$AD$2:$AE$22,2,FALSE), " ")</f>
        <v>+</v>
      </c>
    </row>
    <row r="232" spans="4:13" x14ac:dyDescent="0.25">
      <c r="D232" s="131">
        <v>6</v>
      </c>
      <c r="E232" s="155" t="s">
        <v>48</v>
      </c>
      <c r="F232" s="156">
        <v>5</v>
      </c>
      <c r="G232" s="157" t="s">
        <v>7</v>
      </c>
      <c r="H232" s="158" t="s">
        <v>20</v>
      </c>
      <c r="I232" s="37">
        <v>108</v>
      </c>
      <c r="J232" s="81">
        <f>IFERROR(VLOOKUP(I232,'[1]ABC Master Lists'!$B$2:$I$346,4,FALSE)," ")</f>
        <v>1415</v>
      </c>
      <c r="K232" s="81">
        <f>IFERROR(VLOOKUP(I232,'[1]ABC Master Lists'!$B$2:$I$346,8,FALSE)," ")</f>
        <v>8</v>
      </c>
      <c r="L232" s="120" t="str">
        <f>IFERROR(VLOOKUP(J232,'[1]ABC Master Lists'!$AQ$2:$AS$12,3,FALSE)," ")</f>
        <v>+</v>
      </c>
      <c r="M232" s="120" t="str">
        <f>IFERROR(VLOOKUP(K232,'[1]ABC Master Lists'!$AD$2:$AE$22,2,FALSE), " ")</f>
        <v>+</v>
      </c>
    </row>
    <row r="233" spans="4:13" x14ac:dyDescent="0.25">
      <c r="D233" s="54">
        <v>7</v>
      </c>
      <c r="E233" s="67" t="s">
        <v>28</v>
      </c>
      <c r="F233" s="13">
        <v>4</v>
      </c>
      <c r="G233" s="68" t="s">
        <v>7</v>
      </c>
      <c r="H233" s="69" t="s">
        <v>20</v>
      </c>
      <c r="I233" s="36">
        <v>200</v>
      </c>
      <c r="J233" s="79">
        <f>IFERROR(VLOOKUP(I233,'[1]ABC Master Lists'!$B$2:$I$346,4,FALSE)," ")</f>
        <v>2229</v>
      </c>
      <c r="K233" s="79">
        <f>IFERROR(VLOOKUP(I233,'[1]ABC Master Lists'!$B$2:$I$346,8,FALSE)," ")</f>
        <v>8</v>
      </c>
      <c r="L233" s="118" t="str">
        <f>IFERROR(VLOOKUP(J233,'[1]ABC Master Lists'!$AQ$2:$AS$12,3,FALSE)," ")</f>
        <v>+</v>
      </c>
      <c r="M233" s="118" t="str">
        <f>IFERROR(VLOOKUP(K233,'[1]ABC Master Lists'!$AD$2:$AE$22,2,FALSE), " ")</f>
        <v>+</v>
      </c>
    </row>
    <row r="234" spans="4:13" x14ac:dyDescent="0.25">
      <c r="D234" s="131">
        <v>8</v>
      </c>
      <c r="E234" s="132" t="s">
        <v>60</v>
      </c>
      <c r="F234" s="159">
        <v>31</v>
      </c>
      <c r="G234" s="160" t="s">
        <v>7</v>
      </c>
      <c r="H234" s="161" t="s">
        <v>5</v>
      </c>
      <c r="I234" s="37">
        <v>44</v>
      </c>
      <c r="J234" s="81">
        <f>IFERROR(VLOOKUP(I234,'[1]ABC Master Lists'!$B$2:$I$346,4,FALSE)," ")</f>
        <v>28</v>
      </c>
      <c r="K234" s="81">
        <f>IFERROR(VLOOKUP(I234,'[1]ABC Master Lists'!$B$2:$I$346,8,FALSE)," ")</f>
        <v>6</v>
      </c>
      <c r="L234" s="120" t="str">
        <f>IFERROR(VLOOKUP(J234,'[1]ABC Master Lists'!$AQ$2:$AS$12,3,FALSE)," ")</f>
        <v>+</v>
      </c>
      <c r="M234" s="120" t="str">
        <f>IFERROR(VLOOKUP(K234,'[1]ABC Master Lists'!$AD$2:$AE$22,2,FALSE), " ")</f>
        <v>+</v>
      </c>
    </row>
    <row r="235" spans="4:13" x14ac:dyDescent="0.25">
      <c r="D235" s="54">
        <v>9</v>
      </c>
      <c r="E235" s="62" t="s">
        <v>60</v>
      </c>
      <c r="F235" s="13">
        <v>23.4</v>
      </c>
      <c r="G235" s="56" t="s">
        <v>7</v>
      </c>
      <c r="H235" s="63" t="s">
        <v>20</v>
      </c>
      <c r="I235" s="36">
        <v>43</v>
      </c>
      <c r="J235" s="79">
        <f>IFERROR(VLOOKUP(I235,'[1]ABC Master Lists'!$B$2:$I$346,4,FALSE)," ")</f>
        <v>28</v>
      </c>
      <c r="K235" s="79">
        <f>IFERROR(VLOOKUP(I235,'[1]ABC Master Lists'!$B$2:$I$346,8,FALSE)," ")</f>
        <v>8</v>
      </c>
      <c r="L235" s="118" t="str">
        <f>IFERROR(VLOOKUP(J235,'[1]ABC Master Lists'!$AQ$2:$AS$12,3,FALSE)," ")</f>
        <v>+</v>
      </c>
      <c r="M235" s="118" t="str">
        <f>IFERROR(VLOOKUP(K235,'[1]ABC Master Lists'!$AD$2:$AE$22,2,FALSE), " ")</f>
        <v>+</v>
      </c>
    </row>
    <row r="236" spans="4:13" x14ac:dyDescent="0.25">
      <c r="D236" s="131">
        <v>10</v>
      </c>
      <c r="E236" s="132" t="s">
        <v>60</v>
      </c>
      <c r="F236" s="159">
        <v>31</v>
      </c>
      <c r="G236" s="160" t="s">
        <v>7</v>
      </c>
      <c r="H236" s="161" t="s">
        <v>20</v>
      </c>
      <c r="I236" s="37">
        <v>45</v>
      </c>
      <c r="J236" s="81">
        <f>IFERROR(VLOOKUP(I236,'[1]ABC Master Lists'!$B$2:$I$346,4,FALSE)," ")</f>
        <v>28</v>
      </c>
      <c r="K236" s="81">
        <f>IFERROR(VLOOKUP(I236,'[1]ABC Master Lists'!$B$2:$I$346,8,FALSE)," ")</f>
        <v>8</v>
      </c>
      <c r="L236" s="120" t="str">
        <f>IFERROR(VLOOKUP(J236,'[1]ABC Master Lists'!$AQ$2:$AS$12,3,FALSE)," ")</f>
        <v>+</v>
      </c>
      <c r="M236" s="120" t="str">
        <f>IFERROR(VLOOKUP(K236,'[1]ABC Master Lists'!$AD$2:$AE$22,2,FALSE), " ")</f>
        <v>+</v>
      </c>
    </row>
    <row r="237" spans="4:13" x14ac:dyDescent="0.25">
      <c r="D237" s="54">
        <v>11</v>
      </c>
      <c r="E237" s="62" t="s">
        <v>35</v>
      </c>
      <c r="F237" s="13">
        <v>21.3</v>
      </c>
      <c r="G237" s="56" t="s">
        <v>7</v>
      </c>
      <c r="H237" s="70" t="s">
        <v>20</v>
      </c>
      <c r="I237" s="36">
        <v>218</v>
      </c>
      <c r="J237" s="79">
        <f>IFERROR(VLOOKUP(I237,'[1]ABC Master Lists'!$B$2:$I$346,4,FALSE)," ")</f>
        <v>28</v>
      </c>
      <c r="K237" s="79">
        <f>IFERROR(VLOOKUP(I237,'[1]ABC Master Lists'!$B$2:$I$346,8,FALSE)," ")</f>
        <v>8</v>
      </c>
      <c r="L237" s="118" t="str">
        <f>IFERROR(VLOOKUP(J237,'[1]ABC Master Lists'!$AQ$2:$AS$12,3,FALSE)," ")</f>
        <v>+</v>
      </c>
      <c r="M237" s="118" t="str">
        <f>IFERROR(VLOOKUP(K237,'[1]ABC Master Lists'!$AD$2:$AE$22,2,FALSE), " ")</f>
        <v>+</v>
      </c>
    </row>
    <row r="238" spans="4:13" x14ac:dyDescent="0.25">
      <c r="D238" s="54">
        <v>12</v>
      </c>
      <c r="E238" s="62" t="s">
        <v>35</v>
      </c>
      <c r="F238" s="13">
        <v>28.4</v>
      </c>
      <c r="G238" s="56" t="s">
        <v>7</v>
      </c>
      <c r="H238" s="63" t="s">
        <v>20</v>
      </c>
      <c r="I238" s="36">
        <v>219</v>
      </c>
      <c r="J238" s="79">
        <f>IFERROR(VLOOKUP(I238,'[1]ABC Master Lists'!$B$2:$I$346,4,FALSE)," ")</f>
        <v>28</v>
      </c>
      <c r="K238" s="79">
        <f>IFERROR(VLOOKUP(I238,'[1]ABC Master Lists'!$B$2:$I$346,8,FALSE)," ")</f>
        <v>8</v>
      </c>
      <c r="L238" s="118" t="str">
        <f>IFERROR(VLOOKUP(J238,'[1]ABC Master Lists'!$AQ$2:$AS$12,3,FALSE)," ")</f>
        <v>+</v>
      </c>
      <c r="M238" s="118" t="str">
        <f>IFERROR(VLOOKUP(K238,'[1]ABC Master Lists'!$AD$2:$AE$22,2,FALSE), " ")</f>
        <v>+</v>
      </c>
    </row>
    <row r="239" spans="4:13" x14ac:dyDescent="0.25">
      <c r="D239" s="54">
        <v>13</v>
      </c>
      <c r="E239" s="62" t="s">
        <v>60</v>
      </c>
      <c r="F239" s="13">
        <v>23.4</v>
      </c>
      <c r="G239" s="56" t="s">
        <v>7</v>
      </c>
      <c r="H239" s="63" t="s">
        <v>20</v>
      </c>
      <c r="I239" s="36">
        <v>46</v>
      </c>
      <c r="J239" s="79">
        <f>IFERROR(VLOOKUP(I239,'[1]ABC Master Lists'!$B$2:$I$346,4,FALSE)," ")</f>
        <v>2815</v>
      </c>
      <c r="K239" s="79">
        <f>IFERROR(VLOOKUP(I239,'[1]ABC Master Lists'!$B$2:$I$346,8,FALSE)," ")</f>
        <v>8</v>
      </c>
      <c r="L239" s="118" t="str">
        <f>IFERROR(VLOOKUP(J239,'[1]ABC Master Lists'!$AQ$2:$AS$12,3,FALSE)," ")</f>
        <v xml:space="preserve"> </v>
      </c>
      <c r="M239" s="118" t="str">
        <f>IFERROR(VLOOKUP(K239,'[1]ABC Master Lists'!$AD$2:$AE$22,2,FALSE), " ")</f>
        <v>+</v>
      </c>
    </row>
    <row r="240" spans="4:13" x14ac:dyDescent="0.25">
      <c r="D240" s="54"/>
      <c r="E240" s="62" t="s">
        <v>36</v>
      </c>
      <c r="F240" s="13">
        <v>10</v>
      </c>
      <c r="G240" s="56" t="s">
        <v>7</v>
      </c>
      <c r="H240" s="63" t="s">
        <v>20</v>
      </c>
      <c r="J240" s="79" t="str">
        <f>IFERROR(VLOOKUP(I240,'[1]ABC Master Lists'!$B$2:$I$346,4,FALSE)," ")</f>
        <v xml:space="preserve"> </v>
      </c>
      <c r="K240" s="79" t="str">
        <f>IFERROR(VLOOKUP(I240,'[1]ABC Master Lists'!$B$2:$I$346,8,FALSE)," ")</f>
        <v xml:space="preserve"> </v>
      </c>
      <c r="L240" s="118" t="str">
        <f>IFERROR(VLOOKUP(J240,'[1]ABC Master Lists'!$AQ$2:$AS$12,3,FALSE)," ")</f>
        <v xml:space="preserve"> </v>
      </c>
      <c r="M240" s="118" t="str">
        <f>IFERROR(VLOOKUP(K240,'[1]ABC Master Lists'!$AD$2:$AE$22,2,FALSE), " ")</f>
        <v xml:space="preserve"> </v>
      </c>
    </row>
    <row r="241" spans="1:13" x14ac:dyDescent="0.25">
      <c r="D241" s="131">
        <v>16</v>
      </c>
      <c r="E241" s="132" t="s">
        <v>1</v>
      </c>
      <c r="F241" s="93" t="s">
        <v>2</v>
      </c>
      <c r="G241" s="133" t="s">
        <v>2</v>
      </c>
      <c r="H241" s="134" t="s">
        <v>2</v>
      </c>
      <c r="I241" s="37">
        <v>1</v>
      </c>
      <c r="J241" s="81" t="str">
        <f>IFERROR(VLOOKUP(I241,'[1]ABC Master Lists'!$B$2:$I$346,4,FALSE)," ")</f>
        <v>.</v>
      </c>
      <c r="K241" s="81" t="str">
        <f>IFERROR(VLOOKUP(I241,'[1]ABC Master Lists'!$B$2:$I$346,8,FALSE)," ")</f>
        <v>.</v>
      </c>
      <c r="L241" s="120" t="str">
        <f>IFERROR(VLOOKUP(J241,'[1]ABC Master Lists'!$AQ$2:$AS$12,3,FALSE)," ")</f>
        <v>+</v>
      </c>
      <c r="M241" s="120" t="str">
        <f>IFERROR(VLOOKUP(K241,'[1]ABC Master Lists'!$AD$2:$AE$22,2,FALSE), " ")</f>
        <v>+</v>
      </c>
    </row>
    <row r="242" spans="1:13" x14ac:dyDescent="0.25">
      <c r="D242" s="54">
        <v>18</v>
      </c>
      <c r="E242" s="62" t="s">
        <v>31</v>
      </c>
      <c r="F242" s="13">
        <v>6</v>
      </c>
      <c r="G242" s="56" t="s">
        <v>7</v>
      </c>
      <c r="H242" s="63" t="s">
        <v>20</v>
      </c>
      <c r="I242" s="36">
        <v>180</v>
      </c>
      <c r="J242" s="79">
        <f>IFERROR(VLOOKUP(I242,'[1]ABC Master Lists'!$B$2:$I$346,4,FALSE)," ")</f>
        <v>1</v>
      </c>
      <c r="K242" s="79">
        <f>IFERROR(VLOOKUP(I242,'[1]ABC Master Lists'!$B$2:$I$346,8,FALSE)," ")</f>
        <v>8</v>
      </c>
      <c r="L242" s="118" t="str">
        <f>IFERROR(VLOOKUP(J242,'[1]ABC Master Lists'!$AQ$2:$AS$12,3,FALSE)," ")</f>
        <v xml:space="preserve"> </v>
      </c>
      <c r="M242" s="118" t="str">
        <f>IFERROR(VLOOKUP(K242,'[1]ABC Master Lists'!$AD$2:$AE$22,2,FALSE), " ")</f>
        <v>+</v>
      </c>
    </row>
    <row r="243" spans="1:13" x14ac:dyDescent="0.25">
      <c r="D243" s="131">
        <v>19</v>
      </c>
      <c r="E243" s="132" t="s">
        <v>49</v>
      </c>
      <c r="F243" s="159">
        <v>8</v>
      </c>
      <c r="G243" s="160" t="s">
        <v>7</v>
      </c>
      <c r="H243" s="161" t="s">
        <v>20</v>
      </c>
      <c r="I243" s="37">
        <v>182</v>
      </c>
      <c r="J243" s="81">
        <f>IFERROR(VLOOKUP(I243,'[1]ABC Master Lists'!$B$2:$I$346,4,FALSE)," ")</f>
        <v>19</v>
      </c>
      <c r="K243" s="81">
        <f>IFERROR(VLOOKUP(I243,'[1]ABC Master Lists'!$B$2:$I$346,8,FALSE)," ")</f>
        <v>8</v>
      </c>
      <c r="L243" s="120" t="str">
        <f>IFERROR(VLOOKUP(J243,'[1]ABC Master Lists'!$AQ$2:$AS$12,3,FALSE)," ")</f>
        <v xml:space="preserve"> </v>
      </c>
      <c r="M243" s="120" t="str">
        <f>IFERROR(VLOOKUP(K243,'[1]ABC Master Lists'!$AD$2:$AE$22,2,FALSE), " ")</f>
        <v>+</v>
      </c>
    </row>
    <row r="244" spans="1:13" x14ac:dyDescent="0.25">
      <c r="D244" s="54">
        <v>20</v>
      </c>
      <c r="E244" s="62" t="s">
        <v>6</v>
      </c>
      <c r="F244" s="13">
        <v>8</v>
      </c>
      <c r="G244" s="56" t="s">
        <v>7</v>
      </c>
      <c r="H244" s="70" t="s">
        <v>5</v>
      </c>
      <c r="I244" s="36">
        <v>14</v>
      </c>
      <c r="J244" s="79">
        <f>IFERROR(VLOOKUP(I244,'[1]ABC Master Lists'!$B$2:$I$346,4,FALSE)," ")</f>
        <v>20</v>
      </c>
      <c r="K244" s="79">
        <f>IFERROR(VLOOKUP(I244,'[1]ABC Master Lists'!$B$2:$I$346,8,FALSE)," ")</f>
        <v>6</v>
      </c>
      <c r="L244" s="118" t="str">
        <f>IFERROR(VLOOKUP(J244,'[1]ABC Master Lists'!$AQ$2:$AS$12,3,FALSE)," ")</f>
        <v>+</v>
      </c>
      <c r="M244" s="118" t="str">
        <f>IFERROR(VLOOKUP(K244,'[1]ABC Master Lists'!$AD$2:$AE$22,2,FALSE), " ")</f>
        <v>+</v>
      </c>
    </row>
    <row r="245" spans="1:13" x14ac:dyDescent="0.25">
      <c r="D245" s="131">
        <v>21</v>
      </c>
      <c r="E245" s="132" t="s">
        <v>18</v>
      </c>
      <c r="F245" s="159">
        <v>6</v>
      </c>
      <c r="G245" s="160" t="s">
        <v>7</v>
      </c>
      <c r="H245" s="161" t="s">
        <v>5</v>
      </c>
      <c r="I245" s="37">
        <v>52</v>
      </c>
      <c r="J245" s="81">
        <f>IFERROR(VLOOKUP(I245,'[1]ABC Master Lists'!$B$2:$I$346,4,FALSE)," ")</f>
        <v>18</v>
      </c>
      <c r="K245" s="81">
        <f>IFERROR(VLOOKUP(I245,'[1]ABC Master Lists'!$B$2:$I$346,8,FALSE)," ")</f>
        <v>6</v>
      </c>
      <c r="L245" s="120" t="str">
        <f>IFERROR(VLOOKUP(J245,'[1]ABC Master Lists'!$AQ$2:$AS$12,3,FALSE)," ")</f>
        <v>+</v>
      </c>
      <c r="M245" s="120" t="str">
        <f>IFERROR(VLOOKUP(K245,'[1]ABC Master Lists'!$AD$2:$AE$22,2,FALSE), " ")</f>
        <v>+</v>
      </c>
    </row>
    <row r="246" spans="1:13" x14ac:dyDescent="0.25">
      <c r="D246" s="54">
        <v>22</v>
      </c>
      <c r="E246" s="62" t="s">
        <v>10</v>
      </c>
      <c r="F246" s="13">
        <v>8</v>
      </c>
      <c r="G246" s="56" t="s">
        <v>11</v>
      </c>
      <c r="H246" s="63" t="s">
        <v>5</v>
      </c>
      <c r="I246" s="36">
        <v>90</v>
      </c>
      <c r="J246" s="79">
        <f>IFERROR(VLOOKUP(I246,'[1]ABC Master Lists'!$B$2:$I$346,4,FALSE)," ")</f>
        <v>4</v>
      </c>
      <c r="K246" s="79">
        <f>IFERROR(VLOOKUP(I246,'[1]ABC Master Lists'!$B$2:$I$346,8,FALSE)," ")</f>
        <v>6</v>
      </c>
      <c r="L246" s="118" t="str">
        <f>IFERROR(VLOOKUP(J246,'[1]ABC Master Lists'!$AQ$2:$AS$12,3,FALSE)," ")</f>
        <v>+</v>
      </c>
      <c r="M246" s="118" t="str">
        <f>IFERROR(VLOOKUP(K246,'[1]ABC Master Lists'!$AD$2:$AE$22,2,FALSE), " ")</f>
        <v>+</v>
      </c>
    </row>
    <row r="247" spans="1:13" x14ac:dyDescent="0.25">
      <c r="D247" s="131">
        <v>23</v>
      </c>
      <c r="E247" s="162" t="s">
        <v>12</v>
      </c>
      <c r="F247" s="159">
        <v>20</v>
      </c>
      <c r="G247" s="163" t="s">
        <v>7</v>
      </c>
      <c r="H247" s="164" t="s">
        <v>5</v>
      </c>
      <c r="I247" s="37">
        <v>210</v>
      </c>
      <c r="J247" s="81">
        <f>IFERROR(VLOOKUP(I247,'[1]ABC Master Lists'!$B$2:$I$346,4,FALSE)," ")</f>
        <v>28</v>
      </c>
      <c r="K247" s="81">
        <f>IFERROR(VLOOKUP(I247,'[1]ABC Master Lists'!$B$2:$I$346,8,FALSE)," ")</f>
        <v>6</v>
      </c>
      <c r="L247" s="120" t="str">
        <f>IFERROR(VLOOKUP(J247,'[1]ABC Master Lists'!$AQ$2:$AS$12,3,FALSE)," ")</f>
        <v>+</v>
      </c>
      <c r="M247" s="120" t="str">
        <f>IFERROR(VLOOKUP(K247,'[1]ABC Master Lists'!$AD$2:$AE$22,2,FALSE), " ")</f>
        <v>+</v>
      </c>
    </row>
    <row r="248" spans="1:13" x14ac:dyDescent="0.25">
      <c r="D248" s="54">
        <v>24</v>
      </c>
      <c r="E248" s="62" t="s">
        <v>13</v>
      </c>
      <c r="F248" s="13">
        <v>3</v>
      </c>
      <c r="G248" s="56" t="s">
        <v>7</v>
      </c>
      <c r="H248" s="63" t="s">
        <v>5</v>
      </c>
      <c r="I248" s="36">
        <v>156</v>
      </c>
      <c r="J248" s="79">
        <f>IFERROR(VLOOKUP(I248,'[1]ABC Master Lists'!$B$2:$I$346,4,FALSE)," ")</f>
        <v>22</v>
      </c>
      <c r="K248" s="79">
        <f>IFERROR(VLOOKUP(I248,'[1]ABC Master Lists'!$B$2:$I$346,8,FALSE)," ")</f>
        <v>6</v>
      </c>
      <c r="L248" s="118" t="str">
        <f>IFERROR(VLOOKUP(J248,'[1]ABC Master Lists'!$AQ$2:$AS$12,3,FALSE)," ")</f>
        <v>+</v>
      </c>
      <c r="M248" s="118" t="str">
        <f>IFERROR(VLOOKUP(K248,'[1]ABC Master Lists'!$AD$2:$AE$22,2,FALSE), " ")</f>
        <v>+</v>
      </c>
    </row>
    <row r="249" spans="1:13" x14ac:dyDescent="0.25">
      <c r="D249" s="131">
        <v>25</v>
      </c>
      <c r="E249" s="162" t="s">
        <v>13</v>
      </c>
      <c r="F249" s="159">
        <v>5</v>
      </c>
      <c r="G249" s="163" t="s">
        <v>7</v>
      </c>
      <c r="H249" s="164" t="s">
        <v>5</v>
      </c>
      <c r="I249" s="37">
        <v>158</v>
      </c>
      <c r="J249" s="81">
        <f>IFERROR(VLOOKUP(I249,'[1]ABC Master Lists'!$B$2:$I$346,4,FALSE)," ")</f>
        <v>22</v>
      </c>
      <c r="K249" s="81">
        <f>IFERROR(VLOOKUP(I249,'[1]ABC Master Lists'!$B$2:$I$346,8,FALSE)," ")</f>
        <v>3</v>
      </c>
      <c r="L249" s="120" t="str">
        <f>IFERROR(VLOOKUP(J249,'[1]ABC Master Lists'!$AQ$2:$AS$12,3,FALSE)," ")</f>
        <v>+</v>
      </c>
      <c r="M249" s="120"/>
    </row>
    <row r="250" spans="1:13" x14ac:dyDescent="0.25">
      <c r="D250" s="54">
        <v>26</v>
      </c>
      <c r="E250" s="62" t="s">
        <v>13</v>
      </c>
      <c r="F250" s="13">
        <v>3</v>
      </c>
      <c r="G250" s="56" t="s">
        <v>7</v>
      </c>
      <c r="H250" s="63" t="s">
        <v>5</v>
      </c>
      <c r="I250" s="36">
        <v>168</v>
      </c>
      <c r="J250" s="79">
        <f>IFERROR(VLOOKUP(I250,'[1]ABC Master Lists'!$B$2:$I$346,4,FALSE)," ")</f>
        <v>2229</v>
      </c>
      <c r="K250" s="79">
        <f>IFERROR(VLOOKUP(I250,'[1]ABC Master Lists'!$B$2:$I$346,8,FALSE)," ")</f>
        <v>68</v>
      </c>
      <c r="L250" s="118" t="str">
        <f>IFERROR(VLOOKUP(J250,'[1]ABC Master Lists'!$AQ$2:$AS$12,3,FALSE)," ")</f>
        <v>+</v>
      </c>
      <c r="M250" s="118" t="str">
        <f>IFERROR(VLOOKUP(K250,'[1]ABC Master Lists'!$AD$2:$AE$22,2,FALSE), " ")</f>
        <v>+</v>
      </c>
    </row>
    <row r="251" spans="1:13" x14ac:dyDescent="0.25">
      <c r="D251" s="54"/>
      <c r="E251" s="61" t="s">
        <v>28</v>
      </c>
      <c r="F251" s="13">
        <v>4.6500000000000004</v>
      </c>
      <c r="G251" s="59" t="s">
        <v>7</v>
      </c>
      <c r="H251" s="70" t="s">
        <v>20</v>
      </c>
      <c r="J251" s="79" t="str">
        <f>IFERROR(VLOOKUP(I251,'[1]ABC Master Lists'!$B$2:$I$346,4,FALSE)," ")</f>
        <v xml:space="preserve"> </v>
      </c>
      <c r="K251" s="79" t="str">
        <f>IFERROR(VLOOKUP(I251,'[1]ABC Master Lists'!$B$2:$I$346,8,FALSE)," ")</f>
        <v xml:space="preserve"> </v>
      </c>
      <c r="L251" s="118" t="str">
        <f>IFERROR(VLOOKUP(J251,'[1]ABC Master Lists'!$AQ$2:$AS$12,3,FALSE)," ")</f>
        <v xml:space="preserve"> </v>
      </c>
      <c r="M251" s="118" t="str">
        <f>IFERROR(VLOOKUP(K251,'[1]ABC Master Lists'!$AD$2:$AE$22,2,FALSE), " ")</f>
        <v xml:space="preserve"> </v>
      </c>
    </row>
    <row r="252" spans="1:13" x14ac:dyDescent="0.25">
      <c r="D252" s="131">
        <v>27</v>
      </c>
      <c r="E252" s="132" t="s">
        <v>26</v>
      </c>
      <c r="F252" s="159">
        <v>1</v>
      </c>
      <c r="G252" s="160" t="s">
        <v>61</v>
      </c>
      <c r="H252" s="161" t="s">
        <v>5</v>
      </c>
      <c r="I252" s="37">
        <v>140</v>
      </c>
      <c r="J252" s="81">
        <f>IFERROR(VLOOKUP(I252,'[1]ABC Master Lists'!$B$2:$I$346,4,FALSE)," ")</f>
        <v>11</v>
      </c>
      <c r="K252" s="81">
        <f>IFERROR(VLOOKUP(I252,'[1]ABC Master Lists'!$B$2:$I$346,8,FALSE)," ")</f>
        <v>6</v>
      </c>
      <c r="L252" s="120" t="str">
        <f>IFERROR(VLOOKUP(J252,'[1]ABC Master Lists'!$AQ$2:$AS$12,3,FALSE)," ")</f>
        <v>+</v>
      </c>
      <c r="M252" s="120" t="str">
        <f>IFERROR(VLOOKUP(K252,'[1]ABC Master Lists'!$AD$2:$AE$22,2,FALSE), " ")</f>
        <v>+</v>
      </c>
    </row>
    <row r="253" spans="1:13" x14ac:dyDescent="0.25">
      <c r="A253" s="25"/>
      <c r="B253" s="25"/>
      <c r="C253" s="25"/>
      <c r="D253" s="54">
        <v>28</v>
      </c>
      <c r="E253" s="61" t="s">
        <v>18</v>
      </c>
      <c r="F253" s="13">
        <v>6</v>
      </c>
      <c r="G253" s="59" t="s">
        <v>7</v>
      </c>
      <c r="H253" s="70" t="s">
        <v>62</v>
      </c>
      <c r="I253" s="36">
        <v>49</v>
      </c>
      <c r="J253" s="79">
        <f>IFERROR(VLOOKUP(I253,'[1]ABC Master Lists'!$B$2:$I$346,4,FALSE)," ")</f>
        <v>18</v>
      </c>
      <c r="K253" s="79">
        <f>IFERROR(VLOOKUP(I253,'[1]ABC Master Lists'!$B$2:$I$346,8,FALSE)," ")</f>
        <v>3</v>
      </c>
      <c r="L253" s="118" t="str">
        <f>IFERROR(VLOOKUP(J253,'[1]ABC Master Lists'!$AQ$2:$AS$12,3,FALSE)," ")</f>
        <v>+</v>
      </c>
    </row>
    <row r="254" spans="1:13" x14ac:dyDescent="0.25">
      <c r="A254" s="24">
        <v>2014</v>
      </c>
      <c r="B254" s="24" t="s">
        <v>162</v>
      </c>
      <c r="C254" s="24">
        <v>1</v>
      </c>
      <c r="D254" s="27">
        <v>1</v>
      </c>
      <c r="E254" s="165" t="s">
        <v>63</v>
      </c>
      <c r="F254" s="17" t="s">
        <v>2</v>
      </c>
      <c r="G254" s="33" t="s">
        <v>2</v>
      </c>
      <c r="H254" s="37" t="s">
        <v>2</v>
      </c>
      <c r="I254" s="37">
        <v>1</v>
      </c>
      <c r="J254" s="81" t="str">
        <f>IFERROR(VLOOKUP(I254,'[1]ABC Master Lists'!$B$2:$I$346,4,FALSE)," ")</f>
        <v>.</v>
      </c>
      <c r="K254" s="81" t="str">
        <f>IFERROR(VLOOKUP(I254,'[1]ABC Master Lists'!$B$2:$I$346,8,FALSE)," ")</f>
        <v>.</v>
      </c>
      <c r="L254" s="120" t="str">
        <f>IFERROR(VLOOKUP(J254,'[1]ABC Master Lists'!$AQ$2:$AS$12,3,FALSE)," ")</f>
        <v>+</v>
      </c>
      <c r="M254" s="120" t="str">
        <f>IFERROR(VLOOKUP(K254,'[1]ABC Master Lists'!$AD$2:$AE$22,2,FALSE), " ")</f>
        <v>+</v>
      </c>
    </row>
    <row r="255" spans="1:13" x14ac:dyDescent="0.25">
      <c r="D255" s="26">
        <v>2</v>
      </c>
      <c r="E255" s="52" t="s">
        <v>6</v>
      </c>
      <c r="F255" s="4">
        <v>9</v>
      </c>
      <c r="G255" s="59" t="s">
        <v>7</v>
      </c>
      <c r="H255" s="36" t="s">
        <v>34</v>
      </c>
      <c r="I255" s="36">
        <v>30</v>
      </c>
      <c r="J255" s="79">
        <f>IFERROR(VLOOKUP(I255,'[1]ABC Master Lists'!$B$2:$I$346,4,FALSE)," ")</f>
        <v>420</v>
      </c>
      <c r="K255" s="79">
        <f>IFERROR(VLOOKUP(I255,'[1]ABC Master Lists'!$B$2:$I$346,8,FALSE)," ")</f>
        <v>56</v>
      </c>
      <c r="L255" s="118" t="str">
        <f>IFERROR(VLOOKUP(J255,'[1]ABC Master Lists'!$AQ$2:$AS$12,3,FALSE)," ")</f>
        <v xml:space="preserve"> </v>
      </c>
    </row>
    <row r="256" spans="1:13" x14ac:dyDescent="0.25">
      <c r="E256" s="52" t="s">
        <v>10</v>
      </c>
      <c r="F256" s="4">
        <v>8</v>
      </c>
      <c r="G256" s="59" t="s">
        <v>7</v>
      </c>
      <c r="H256" s="36" t="s">
        <v>5</v>
      </c>
      <c r="J256" s="79" t="str">
        <f>IFERROR(VLOOKUP(I256,'[1]ABC Master Lists'!$B$2:$I$346,4,FALSE)," ")</f>
        <v xml:space="preserve"> </v>
      </c>
      <c r="K256" s="79" t="str">
        <f>IFERROR(VLOOKUP(I256,'[1]ABC Master Lists'!$B$2:$I$346,8,FALSE)," ")</f>
        <v xml:space="preserve"> </v>
      </c>
      <c r="L256" s="118" t="str">
        <f>IFERROR(VLOOKUP(J256,'[1]ABC Master Lists'!$AQ$2:$AS$12,3,FALSE)," ")</f>
        <v xml:space="preserve"> </v>
      </c>
      <c r="M256" s="118" t="str">
        <f>IFERROR(VLOOKUP(K256,'[1]ABC Master Lists'!$AD$2:$AE$22,2,FALSE), " ")</f>
        <v xml:space="preserve"> </v>
      </c>
    </row>
    <row r="257" spans="4:13" x14ac:dyDescent="0.25">
      <c r="D257" s="28">
        <v>3</v>
      </c>
      <c r="E257" s="166" t="s">
        <v>6</v>
      </c>
      <c r="F257" s="20">
        <v>9</v>
      </c>
      <c r="G257" s="167" t="s">
        <v>7</v>
      </c>
      <c r="H257" s="38" t="s">
        <v>34</v>
      </c>
      <c r="I257" s="38">
        <v>31</v>
      </c>
      <c r="J257" s="83">
        <f>IFERROR(VLOOKUP(I257,'[1]ABC Master Lists'!$B$2:$I$346,4,FALSE)," ")</f>
        <v>420</v>
      </c>
      <c r="K257" s="83">
        <f>IFERROR(VLOOKUP(I257,'[1]ABC Master Lists'!$B$2:$I$346,8,FALSE)," ")</f>
        <v>58</v>
      </c>
      <c r="L257" s="122" t="str">
        <f>IFERROR(VLOOKUP(J257,'[1]ABC Master Lists'!$AQ$2:$AS$12,3,FALSE)," ")</f>
        <v xml:space="preserve"> </v>
      </c>
      <c r="M257" s="122"/>
    </row>
    <row r="258" spans="4:13" x14ac:dyDescent="0.25">
      <c r="D258" s="29"/>
      <c r="E258" s="99" t="s">
        <v>10</v>
      </c>
      <c r="F258" s="23">
        <v>8</v>
      </c>
      <c r="G258" s="116" t="s">
        <v>7</v>
      </c>
      <c r="H258" s="39" t="s">
        <v>20</v>
      </c>
      <c r="I258" s="39"/>
      <c r="J258" s="82" t="str">
        <f>IFERROR(VLOOKUP(I258,'[1]ABC Master Lists'!$B$2:$I$346,4,FALSE)," ")</f>
        <v xml:space="preserve"> </v>
      </c>
      <c r="K258" s="82" t="str">
        <f>IFERROR(VLOOKUP(I258,'[1]ABC Master Lists'!$B$2:$I$346,8,FALSE)," ")</f>
        <v xml:space="preserve"> </v>
      </c>
      <c r="L258" s="121" t="str">
        <f>IFERROR(VLOOKUP(J258,'[1]ABC Master Lists'!$AQ$2:$AS$12,3,FALSE)," ")</f>
        <v xml:space="preserve"> </v>
      </c>
      <c r="M258" s="121" t="str">
        <f>IFERROR(VLOOKUP(K258,'[1]ABC Master Lists'!$AD$2:$AE$22,2,FALSE), " ")</f>
        <v xml:space="preserve"> </v>
      </c>
    </row>
    <row r="259" spans="4:13" x14ac:dyDescent="0.25">
      <c r="D259" s="26">
        <v>4</v>
      </c>
      <c r="E259" s="52" t="s">
        <v>6</v>
      </c>
      <c r="F259" s="4">
        <v>9</v>
      </c>
      <c r="G259" s="59" t="s">
        <v>7</v>
      </c>
      <c r="H259" s="36" t="s">
        <v>5</v>
      </c>
      <c r="I259" s="36">
        <v>235</v>
      </c>
      <c r="J259" s="79">
        <f>IFERROR(VLOOKUP(I259,'[1]ABC Master Lists'!$B$2:$I$346,4,FALSE)," ")</f>
        <v>420</v>
      </c>
      <c r="K259" s="79">
        <f>IFERROR(VLOOKUP(I259,'[1]ABC Master Lists'!$B$2:$I$346,8,FALSE)," ")</f>
        <v>68</v>
      </c>
      <c r="L259" s="118" t="str">
        <f>IFERROR(VLOOKUP(J259,'[1]ABC Master Lists'!$AQ$2:$AS$12,3,FALSE)," ")</f>
        <v xml:space="preserve"> </v>
      </c>
      <c r="M259" s="118" t="str">
        <f>IFERROR(VLOOKUP(K259,'[1]ABC Master Lists'!$AD$2:$AE$22,2,FALSE), " ")</f>
        <v>+</v>
      </c>
    </row>
    <row r="260" spans="4:13" x14ac:dyDescent="0.25">
      <c r="E260" s="52" t="s">
        <v>10</v>
      </c>
      <c r="F260" s="4">
        <v>8</v>
      </c>
      <c r="G260" s="59" t="s">
        <v>7</v>
      </c>
      <c r="H260" s="36" t="s">
        <v>20</v>
      </c>
      <c r="J260" s="79" t="str">
        <f>IFERROR(VLOOKUP(I260,'[1]ABC Master Lists'!$B$2:$I$346,4,FALSE)," ")</f>
        <v xml:space="preserve"> </v>
      </c>
      <c r="K260" s="79" t="str">
        <f>IFERROR(VLOOKUP(I260,'[1]ABC Master Lists'!$B$2:$I$346,8,FALSE)," ")</f>
        <v xml:space="preserve"> </v>
      </c>
      <c r="L260" s="118" t="str">
        <f>IFERROR(VLOOKUP(J260,'[1]ABC Master Lists'!$AQ$2:$AS$12,3,FALSE)," ")</f>
        <v xml:space="preserve"> </v>
      </c>
      <c r="M260" s="118" t="str">
        <f>IFERROR(VLOOKUP(K260,'[1]ABC Master Lists'!$AD$2:$AE$22,2,FALSE), " ")</f>
        <v xml:space="preserve"> </v>
      </c>
    </row>
    <row r="261" spans="4:13" x14ac:dyDescent="0.25">
      <c r="D261" s="27">
        <v>5</v>
      </c>
      <c r="E261" s="165" t="s">
        <v>6</v>
      </c>
      <c r="F261" s="17">
        <v>9</v>
      </c>
      <c r="G261" s="163" t="s">
        <v>7</v>
      </c>
      <c r="H261" s="37" t="s">
        <v>5</v>
      </c>
      <c r="I261" s="37">
        <v>17</v>
      </c>
      <c r="J261" s="81">
        <f>IFERROR(VLOOKUP(I261,'[1]ABC Master Lists'!$B$2:$I$346,4,FALSE)," ")</f>
        <v>20</v>
      </c>
      <c r="K261" s="81">
        <f>IFERROR(VLOOKUP(I261,'[1]ABC Master Lists'!$B$2:$I$346,8,FALSE)," ")</f>
        <v>6</v>
      </c>
      <c r="L261" s="120" t="str">
        <f>IFERROR(VLOOKUP(J261,'[1]ABC Master Lists'!$AQ$2:$AS$12,3,FALSE)," ")</f>
        <v>+</v>
      </c>
      <c r="M261" s="120" t="str">
        <f>IFERROR(VLOOKUP(K261,'[1]ABC Master Lists'!$AD$2:$AE$22,2,FALSE), " ")</f>
        <v>+</v>
      </c>
    </row>
    <row r="262" spans="4:13" x14ac:dyDescent="0.25">
      <c r="D262" s="26">
        <v>6</v>
      </c>
      <c r="E262" s="52" t="s">
        <v>10</v>
      </c>
      <c r="F262" s="4">
        <v>8</v>
      </c>
      <c r="G262" s="59" t="s">
        <v>7</v>
      </c>
      <c r="H262" s="36" t="s">
        <v>5</v>
      </c>
      <c r="I262" s="36">
        <v>90</v>
      </c>
      <c r="J262" s="79">
        <f>IFERROR(VLOOKUP(I262,'[1]ABC Master Lists'!$B$2:$I$346,4,FALSE)," ")</f>
        <v>4</v>
      </c>
      <c r="K262" s="79">
        <f>IFERROR(VLOOKUP(I262,'[1]ABC Master Lists'!$B$2:$I$346,8,FALSE)," ")</f>
        <v>6</v>
      </c>
      <c r="L262" s="118" t="str">
        <f>IFERROR(VLOOKUP(J262,'[1]ABC Master Lists'!$AQ$2:$AS$12,3,FALSE)," ")</f>
        <v>+</v>
      </c>
      <c r="M262" s="118" t="str">
        <f>IFERROR(VLOOKUP(K262,'[1]ABC Master Lists'!$AD$2:$AE$22,2,FALSE), " ")</f>
        <v>+</v>
      </c>
    </row>
    <row r="263" spans="4:13" x14ac:dyDescent="0.25">
      <c r="D263" s="27">
        <v>7</v>
      </c>
      <c r="E263" s="165" t="s">
        <v>6</v>
      </c>
      <c r="F263" s="17">
        <v>9</v>
      </c>
      <c r="G263" s="163" t="s">
        <v>7</v>
      </c>
      <c r="H263" s="37" t="s">
        <v>20</v>
      </c>
      <c r="I263" s="37">
        <v>19</v>
      </c>
      <c r="J263" s="81">
        <f>IFERROR(VLOOKUP(I263,'[1]ABC Master Lists'!$B$2:$I$346,4,FALSE)," ")</f>
        <v>20</v>
      </c>
      <c r="K263" s="81">
        <f>IFERROR(VLOOKUP(I263,'[1]ABC Master Lists'!$B$2:$I$346,8,FALSE)," ")</f>
        <v>8</v>
      </c>
      <c r="L263" s="120" t="str">
        <f>IFERROR(VLOOKUP(J263,'[1]ABC Master Lists'!$AQ$2:$AS$12,3,FALSE)," ")</f>
        <v>+</v>
      </c>
      <c r="M263" s="120" t="str">
        <f>IFERROR(VLOOKUP(K263,'[1]ABC Master Lists'!$AD$2:$AE$22,2,FALSE), " ")</f>
        <v>+</v>
      </c>
    </row>
    <row r="264" spans="4:13" x14ac:dyDescent="0.25">
      <c r="D264" s="26">
        <v>8</v>
      </c>
      <c r="E264" s="52" t="s">
        <v>10</v>
      </c>
      <c r="F264" s="4">
        <v>8</v>
      </c>
      <c r="G264" s="59" t="s">
        <v>7</v>
      </c>
      <c r="H264" s="36" t="s">
        <v>20</v>
      </c>
      <c r="I264" s="36">
        <v>92</v>
      </c>
      <c r="J264" s="79">
        <f>IFERROR(VLOOKUP(I264,'[1]ABC Master Lists'!$B$2:$I$346,4,FALSE)," ")</f>
        <v>4</v>
      </c>
      <c r="K264" s="79">
        <f>IFERROR(VLOOKUP(I264,'[1]ABC Master Lists'!$B$2:$I$346,8,FALSE)," ")</f>
        <v>8</v>
      </c>
      <c r="L264" s="118" t="str">
        <f>IFERROR(VLOOKUP(J264,'[1]ABC Master Lists'!$AQ$2:$AS$12,3,FALSE)," ")</f>
        <v>+</v>
      </c>
      <c r="M264" s="118" t="str">
        <f>IFERROR(VLOOKUP(K264,'[1]ABC Master Lists'!$AD$2:$AE$22,2,FALSE), " ")</f>
        <v>+</v>
      </c>
    </row>
    <row r="265" spans="4:13" x14ac:dyDescent="0.25">
      <c r="D265" s="27">
        <v>9</v>
      </c>
      <c r="E265" s="165" t="s">
        <v>10</v>
      </c>
      <c r="F265" s="17">
        <v>8</v>
      </c>
      <c r="G265" s="163" t="s">
        <v>7</v>
      </c>
      <c r="H265" s="37" t="s">
        <v>64</v>
      </c>
      <c r="I265" s="37">
        <v>93</v>
      </c>
      <c r="J265" s="81">
        <f>IFERROR(VLOOKUP(I265,'[1]ABC Master Lists'!$B$2:$I$346,4,FALSE)," ")</f>
        <v>4</v>
      </c>
      <c r="K265" s="81">
        <f>IFERROR(VLOOKUP(I265,'[1]ABC Master Lists'!$B$2:$I$346,8,FALSE)," ")</f>
        <v>9</v>
      </c>
      <c r="L265" s="120" t="str">
        <f>IFERROR(VLOOKUP(J265,'[1]ABC Master Lists'!$AQ$2:$AS$12,3,FALSE)," ")</f>
        <v>+</v>
      </c>
      <c r="M265" s="120"/>
    </row>
    <row r="266" spans="4:13" x14ac:dyDescent="0.25">
      <c r="D266" s="26">
        <v>10</v>
      </c>
      <c r="E266" s="52" t="s">
        <v>10</v>
      </c>
      <c r="F266" s="4">
        <v>8</v>
      </c>
      <c r="G266" s="59" t="s">
        <v>7</v>
      </c>
      <c r="H266" s="36" t="s">
        <v>65</v>
      </c>
      <c r="I266" s="36">
        <v>94</v>
      </c>
      <c r="J266" s="79">
        <f>IFERROR(VLOOKUP(I266,'[1]ABC Master Lists'!$B$2:$I$346,4,FALSE)," ")</f>
        <v>4</v>
      </c>
      <c r="K266" s="79">
        <f>IFERROR(VLOOKUP(I266,'[1]ABC Master Lists'!$B$2:$I$346,8,FALSE)," ")</f>
        <v>10</v>
      </c>
      <c r="L266" s="118" t="str">
        <f>IFERROR(VLOOKUP(J266,'[1]ABC Master Lists'!$AQ$2:$AS$12,3,FALSE)," ")</f>
        <v>+</v>
      </c>
      <c r="M266" s="118" t="str">
        <f>IFERROR(VLOOKUP(K266,'[1]ABC Master Lists'!$AD$2:$AE$22,2,FALSE), " ")</f>
        <v>+</v>
      </c>
    </row>
    <row r="267" spans="4:13" x14ac:dyDescent="0.25">
      <c r="D267" s="28">
        <v>18</v>
      </c>
      <c r="E267" s="166" t="s">
        <v>66</v>
      </c>
      <c r="F267" s="20">
        <v>3</v>
      </c>
      <c r="G267" s="167" t="s">
        <v>7</v>
      </c>
      <c r="H267" s="38" t="s">
        <v>5</v>
      </c>
      <c r="I267" s="38">
        <v>166</v>
      </c>
      <c r="J267" s="83">
        <f>IFERROR(VLOOKUP(I267,'[1]ABC Master Lists'!$B$2:$I$346,4,FALSE)," ")</f>
        <v>2229</v>
      </c>
      <c r="K267" s="83">
        <f>IFERROR(VLOOKUP(I267,'[1]ABC Master Lists'!$B$2:$I$346,8,FALSE)," ")</f>
        <v>68</v>
      </c>
      <c r="L267" s="122" t="str">
        <f>IFERROR(VLOOKUP(J267,'[1]ABC Master Lists'!$AQ$2:$AS$12,3,FALSE)," ")</f>
        <v>+</v>
      </c>
      <c r="M267" s="122" t="str">
        <f>IFERROR(VLOOKUP(K267,'[1]ABC Master Lists'!$AD$2:$AE$22,2,FALSE), " ")</f>
        <v>+</v>
      </c>
    </row>
    <row r="268" spans="4:13" x14ac:dyDescent="0.25">
      <c r="D268" s="29"/>
      <c r="E268" s="99" t="s">
        <v>28</v>
      </c>
      <c r="F268" s="23">
        <v>4</v>
      </c>
      <c r="G268" s="116" t="s">
        <v>7</v>
      </c>
      <c r="H268" s="39" t="s">
        <v>20</v>
      </c>
      <c r="I268" s="39"/>
      <c r="J268" s="82" t="str">
        <f>IFERROR(VLOOKUP(I268,'[1]ABC Master Lists'!$B$2:$I$346,4,FALSE)," ")</f>
        <v xml:space="preserve"> </v>
      </c>
      <c r="K268" s="82" t="str">
        <f>IFERROR(VLOOKUP(I268,'[1]ABC Master Lists'!$B$2:$I$346,8,FALSE)," ")</f>
        <v xml:space="preserve"> </v>
      </c>
      <c r="L268" s="121" t="str">
        <f>IFERROR(VLOOKUP(J268,'[1]ABC Master Lists'!$AQ$2:$AS$12,3,FALSE)," ")</f>
        <v xml:space="preserve"> </v>
      </c>
      <c r="M268" s="121" t="str">
        <f>IFERROR(VLOOKUP(K268,'[1]ABC Master Lists'!$AD$2:$AE$22,2,FALSE), " ")</f>
        <v xml:space="preserve"> </v>
      </c>
    </row>
    <row r="269" spans="4:13" x14ac:dyDescent="0.25">
      <c r="D269" s="26">
        <v>19</v>
      </c>
      <c r="E269" s="52" t="s">
        <v>18</v>
      </c>
      <c r="F269" s="4">
        <v>6</v>
      </c>
      <c r="G269" s="59" t="s">
        <v>7</v>
      </c>
      <c r="H269" s="36" t="s">
        <v>5</v>
      </c>
      <c r="I269" s="36">
        <v>52</v>
      </c>
      <c r="J269" s="79">
        <f>IFERROR(VLOOKUP(I269,'[1]ABC Master Lists'!$B$2:$I$346,4,FALSE)," ")</f>
        <v>18</v>
      </c>
      <c r="K269" s="79">
        <f>IFERROR(VLOOKUP(I269,'[1]ABC Master Lists'!$B$2:$I$346,8,FALSE)," ")</f>
        <v>6</v>
      </c>
      <c r="L269" s="118" t="str">
        <f>IFERROR(VLOOKUP(J269,'[1]ABC Master Lists'!$AQ$2:$AS$12,3,FALSE)," ")</f>
        <v>+</v>
      </c>
      <c r="M269" s="118" t="str">
        <f>IFERROR(VLOOKUP(K269,'[1]ABC Master Lists'!$AD$2:$AE$22,2,FALSE), " ")</f>
        <v>+</v>
      </c>
    </row>
    <row r="270" spans="4:13" x14ac:dyDescent="0.25">
      <c r="D270" s="28">
        <v>20</v>
      </c>
      <c r="E270" s="166" t="s">
        <v>18</v>
      </c>
      <c r="F270" s="20">
        <v>6</v>
      </c>
      <c r="G270" s="167" t="s">
        <v>7</v>
      </c>
      <c r="H270" s="38" t="s">
        <v>5</v>
      </c>
      <c r="I270" s="38">
        <v>66</v>
      </c>
      <c r="J270" s="83">
        <f>IFERROR(VLOOKUP(I270,'[1]ABC Master Lists'!$B$2:$I$346,4,FALSE)," ")</f>
        <v>184</v>
      </c>
      <c r="K270" s="83">
        <f>IFERROR(VLOOKUP(I270,'[1]ABC Master Lists'!$B$2:$I$346,8,FALSE)," ")</f>
        <v>68</v>
      </c>
      <c r="L270" s="122" t="str">
        <f>IFERROR(VLOOKUP(J270,'[1]ABC Master Lists'!$AQ$2:$AS$12,3,FALSE)," ")</f>
        <v xml:space="preserve"> </v>
      </c>
      <c r="M270" s="122" t="str">
        <f>IFERROR(VLOOKUP(K270,'[1]ABC Master Lists'!$AD$2:$AE$22,2,FALSE), " ")</f>
        <v>+</v>
      </c>
    </row>
    <row r="271" spans="4:13" x14ac:dyDescent="0.25">
      <c r="D271" s="29"/>
      <c r="E271" s="99" t="s">
        <v>10</v>
      </c>
      <c r="F271" s="23">
        <v>6</v>
      </c>
      <c r="G271" s="116" t="s">
        <v>7</v>
      </c>
      <c r="H271" s="39" t="s">
        <v>20</v>
      </c>
      <c r="I271" s="39"/>
      <c r="J271" s="82" t="str">
        <f>IFERROR(VLOOKUP(I271,'[1]ABC Master Lists'!$B$2:$I$346,4,FALSE)," ")</f>
        <v xml:space="preserve"> </v>
      </c>
      <c r="K271" s="82" t="str">
        <f>IFERROR(VLOOKUP(I271,'[1]ABC Master Lists'!$B$2:$I$346,8,FALSE)," ")</f>
        <v xml:space="preserve"> </v>
      </c>
      <c r="L271" s="121" t="str">
        <f>IFERROR(VLOOKUP(J271,'[1]ABC Master Lists'!$AQ$2:$AS$12,3,FALSE)," ")</f>
        <v xml:space="preserve"> </v>
      </c>
      <c r="M271" s="121" t="str">
        <f>IFERROR(VLOOKUP(K271,'[1]ABC Master Lists'!$AD$2:$AE$22,2,FALSE), " ")</f>
        <v xml:space="preserve"> </v>
      </c>
    </row>
    <row r="272" spans="4:13" x14ac:dyDescent="0.25">
      <c r="D272" s="26">
        <v>21</v>
      </c>
      <c r="E272" s="52" t="s">
        <v>18</v>
      </c>
      <c r="F272" s="4">
        <v>6</v>
      </c>
      <c r="G272" s="59" t="s">
        <v>7</v>
      </c>
      <c r="H272" s="36" t="s">
        <v>5</v>
      </c>
      <c r="I272" s="36">
        <v>64</v>
      </c>
      <c r="J272" s="79">
        <f>IFERROR(VLOOKUP(I272,'[1]ABC Master Lists'!$B$2:$I$346,4,FALSE)," ")</f>
        <v>184</v>
      </c>
      <c r="K272" s="79">
        <f>IFERROR(VLOOKUP(I272,'[1]ABC Master Lists'!$B$2:$I$346,8,FALSE)," ")</f>
        <v>6</v>
      </c>
      <c r="L272" s="118" t="str">
        <f>IFERROR(VLOOKUP(J272,'[1]ABC Master Lists'!$AQ$2:$AS$12,3,FALSE)," ")</f>
        <v xml:space="preserve"> </v>
      </c>
      <c r="M272" s="118" t="str">
        <f>IFERROR(VLOOKUP(K272,'[1]ABC Master Lists'!$AD$2:$AE$22,2,FALSE), " ")</f>
        <v>+</v>
      </c>
    </row>
    <row r="273" spans="1:13" x14ac:dyDescent="0.25">
      <c r="E273" s="52" t="s">
        <v>10</v>
      </c>
      <c r="F273" s="4">
        <v>6</v>
      </c>
      <c r="G273" s="59" t="s">
        <v>7</v>
      </c>
      <c r="H273" s="36" t="s">
        <v>5</v>
      </c>
      <c r="J273" s="79" t="str">
        <f>IFERROR(VLOOKUP(I273,'[1]ABC Master Lists'!$B$2:$I$346,4,FALSE)," ")</f>
        <v xml:space="preserve"> </v>
      </c>
      <c r="K273" s="79" t="str">
        <f>IFERROR(VLOOKUP(I273,'[1]ABC Master Lists'!$B$2:$I$346,8,FALSE)," ")</f>
        <v xml:space="preserve"> </v>
      </c>
      <c r="L273" s="118" t="str">
        <f>IFERROR(VLOOKUP(J273,'[1]ABC Master Lists'!$AQ$2:$AS$12,3,FALSE)," ")</f>
        <v xml:space="preserve"> </v>
      </c>
      <c r="M273" s="118" t="str">
        <f>IFERROR(VLOOKUP(K273,'[1]ABC Master Lists'!$AD$2:$AE$22,2,FALSE), " ")</f>
        <v xml:space="preserve"> </v>
      </c>
    </row>
    <row r="274" spans="1:13" x14ac:dyDescent="0.25">
      <c r="D274" s="27">
        <v>22</v>
      </c>
      <c r="E274" s="165" t="s">
        <v>44</v>
      </c>
      <c r="F274" s="17">
        <v>4</v>
      </c>
      <c r="G274" s="163" t="s">
        <v>7</v>
      </c>
      <c r="H274" s="37" t="s">
        <v>20</v>
      </c>
      <c r="I274" s="37">
        <v>153</v>
      </c>
      <c r="J274" s="81">
        <f>IFERROR(VLOOKUP(I274,'[1]ABC Master Lists'!$B$2:$I$346,4,FALSE)," ")</f>
        <v>1624</v>
      </c>
      <c r="K274" s="81">
        <f>IFERROR(VLOOKUP(I274,'[1]ABC Master Lists'!$B$2:$I$346,8,FALSE)," ")</f>
        <v>8</v>
      </c>
      <c r="L274" s="120" t="str">
        <f>IFERROR(VLOOKUP(J274,'[1]ABC Master Lists'!$AQ$2:$AS$12,3,FALSE)," ")</f>
        <v xml:space="preserve"> </v>
      </c>
      <c r="M274" s="120" t="str">
        <f>IFERROR(VLOOKUP(K274,'[1]ABC Master Lists'!$AD$2:$AE$22,2,FALSE), " ")</f>
        <v>+</v>
      </c>
    </row>
    <row r="275" spans="1:13" x14ac:dyDescent="0.25">
      <c r="D275" s="28">
        <v>23</v>
      </c>
      <c r="E275" s="166" t="s">
        <v>6</v>
      </c>
      <c r="F275" s="20">
        <v>9</v>
      </c>
      <c r="G275" s="167" t="s">
        <v>7</v>
      </c>
      <c r="H275" s="38" t="s">
        <v>34</v>
      </c>
      <c r="I275" s="38">
        <v>32</v>
      </c>
      <c r="J275" s="168">
        <v>4151618202224</v>
      </c>
      <c r="K275" s="83">
        <f>IFERROR(VLOOKUP(I275,'[1]ABC Master Lists'!$B$2:$I$346,8,FALSE)," ")</f>
        <v>56810</v>
      </c>
      <c r="L275" s="122" t="str">
        <f>IFERROR(VLOOKUP(J275,'[1]ABC Master Lists'!$AQ$2:$AS$12,3,FALSE)," ")</f>
        <v xml:space="preserve"> </v>
      </c>
      <c r="M275" s="122"/>
    </row>
    <row r="276" spans="1:13" x14ac:dyDescent="0.25">
      <c r="E276" s="52" t="s">
        <v>13</v>
      </c>
      <c r="F276" s="4">
        <v>3</v>
      </c>
      <c r="G276" s="59" t="s">
        <v>7</v>
      </c>
      <c r="H276" s="36" t="s">
        <v>5</v>
      </c>
      <c r="J276" s="79" t="str">
        <f>IFERROR(VLOOKUP(I276,'[1]ABC Master Lists'!$B$2:$I$346,4,FALSE)," ")</f>
        <v xml:space="preserve"> </v>
      </c>
      <c r="K276" s="79" t="str">
        <f>IFERROR(VLOOKUP(I276,'[1]ABC Master Lists'!$B$2:$I$346,8,FALSE)," ")</f>
        <v xml:space="preserve"> </v>
      </c>
      <c r="L276" s="118" t="str">
        <f>IFERROR(VLOOKUP(J276,'[1]ABC Master Lists'!$AQ$2:$AS$12,3,FALSE)," ")</f>
        <v xml:space="preserve"> </v>
      </c>
      <c r="M276" s="118" t="str">
        <f>IFERROR(VLOOKUP(K276,'[1]ABC Master Lists'!$AD$2:$AE$22,2,FALSE), " ")</f>
        <v xml:space="preserve"> </v>
      </c>
    </row>
    <row r="277" spans="1:13" x14ac:dyDescent="0.25">
      <c r="E277" s="52" t="s">
        <v>18</v>
      </c>
      <c r="F277" s="4">
        <v>5</v>
      </c>
      <c r="G277" s="59" t="s">
        <v>7</v>
      </c>
      <c r="H277" s="36" t="s">
        <v>5</v>
      </c>
      <c r="J277" s="79" t="str">
        <f>IFERROR(VLOOKUP(I277,'[1]ABC Master Lists'!$B$2:$I$346,4,FALSE)," ")</f>
        <v xml:space="preserve"> </v>
      </c>
      <c r="K277" s="79" t="str">
        <f>IFERROR(VLOOKUP(I277,'[1]ABC Master Lists'!$B$2:$I$346,8,FALSE)," ")</f>
        <v xml:space="preserve"> </v>
      </c>
      <c r="L277" s="118" t="str">
        <f>IFERROR(VLOOKUP(J277,'[1]ABC Master Lists'!$AQ$2:$AS$12,3,FALSE)," ")</f>
        <v xml:space="preserve"> </v>
      </c>
      <c r="M277" s="118" t="str">
        <f>IFERROR(VLOOKUP(K277,'[1]ABC Master Lists'!$AD$2:$AE$22,2,FALSE), " ")</f>
        <v xml:space="preserve"> </v>
      </c>
    </row>
    <row r="278" spans="1:13" x14ac:dyDescent="0.25">
      <c r="E278" s="52" t="s">
        <v>44</v>
      </c>
      <c r="F278" s="4">
        <v>4</v>
      </c>
      <c r="G278" s="59" t="s">
        <v>7</v>
      </c>
      <c r="H278" s="36" t="s">
        <v>20</v>
      </c>
      <c r="J278" s="79" t="str">
        <f>IFERROR(VLOOKUP(I278,'[1]ABC Master Lists'!$B$2:$I$346,4,FALSE)," ")</f>
        <v xml:space="preserve"> </v>
      </c>
      <c r="K278" s="79" t="str">
        <f>IFERROR(VLOOKUP(I278,'[1]ABC Master Lists'!$B$2:$I$346,8,FALSE)," ")</f>
        <v xml:space="preserve"> </v>
      </c>
      <c r="L278" s="118" t="str">
        <f>IFERROR(VLOOKUP(J278,'[1]ABC Master Lists'!$AQ$2:$AS$12,3,FALSE)," ")</f>
        <v xml:space="preserve"> </v>
      </c>
      <c r="M278" s="118" t="str">
        <f>IFERROR(VLOOKUP(K278,'[1]ABC Master Lists'!$AD$2:$AE$22,2,FALSE), " ")</f>
        <v xml:space="preserve"> </v>
      </c>
    </row>
    <row r="279" spans="1:13" x14ac:dyDescent="0.25">
      <c r="E279" s="52" t="s">
        <v>36</v>
      </c>
      <c r="F279" s="4">
        <v>5</v>
      </c>
      <c r="G279" s="59" t="s">
        <v>7</v>
      </c>
      <c r="H279" s="36" t="s">
        <v>20</v>
      </c>
      <c r="J279" s="79" t="str">
        <f>IFERROR(VLOOKUP(I279,'[1]ABC Master Lists'!$B$2:$I$346,4,FALSE)," ")</f>
        <v xml:space="preserve"> </v>
      </c>
      <c r="K279" s="79" t="str">
        <f>IFERROR(VLOOKUP(I279,'[1]ABC Master Lists'!$B$2:$I$346,8,FALSE)," ")</f>
        <v xml:space="preserve"> </v>
      </c>
      <c r="L279" s="118" t="str">
        <f>IFERROR(VLOOKUP(J279,'[1]ABC Master Lists'!$AQ$2:$AS$12,3,FALSE)," ")</f>
        <v xml:space="preserve"> </v>
      </c>
      <c r="M279" s="118" t="str">
        <f>IFERROR(VLOOKUP(K279,'[1]ABC Master Lists'!$AD$2:$AE$22,2,FALSE), " ")</f>
        <v xml:space="preserve"> </v>
      </c>
    </row>
    <row r="280" spans="1:13" x14ac:dyDescent="0.25">
      <c r="D280" s="29"/>
      <c r="E280" s="99" t="s">
        <v>10</v>
      </c>
      <c r="F280" s="23">
        <v>6</v>
      </c>
      <c r="G280" s="116" t="s">
        <v>7</v>
      </c>
      <c r="H280" s="39" t="s">
        <v>65</v>
      </c>
      <c r="I280" s="39"/>
      <c r="J280" s="82" t="str">
        <f>IFERROR(VLOOKUP(I280,'[1]ABC Master Lists'!$B$2:$I$346,4,FALSE)," ")</f>
        <v xml:space="preserve"> </v>
      </c>
      <c r="K280" s="82" t="str">
        <f>IFERROR(VLOOKUP(I280,'[1]ABC Master Lists'!$B$2:$I$346,8,FALSE)," ")</f>
        <v xml:space="preserve"> </v>
      </c>
      <c r="L280" s="121" t="str">
        <f>IFERROR(VLOOKUP(J280,'[1]ABC Master Lists'!$AQ$2:$AS$12,3,FALSE)," ")</f>
        <v xml:space="preserve"> </v>
      </c>
      <c r="M280" s="121" t="str">
        <f>IFERROR(VLOOKUP(K280,'[1]ABC Master Lists'!$AD$2:$AE$22,2,FALSE), " ")</f>
        <v xml:space="preserve"> </v>
      </c>
    </row>
    <row r="281" spans="1:13" x14ac:dyDescent="0.25">
      <c r="A281" s="31">
        <v>2015</v>
      </c>
      <c r="B281" s="31" t="s">
        <v>162</v>
      </c>
      <c r="C281" s="31" t="s">
        <v>163</v>
      </c>
      <c r="D281" s="26">
        <v>1</v>
      </c>
      <c r="E281" s="52" t="s">
        <v>63</v>
      </c>
      <c r="F281" s="173" t="s">
        <v>2</v>
      </c>
      <c r="G281" s="34" t="s">
        <v>2</v>
      </c>
      <c r="H281" s="36" t="s">
        <v>2</v>
      </c>
      <c r="I281" s="36">
        <v>1</v>
      </c>
      <c r="J281" s="79" t="str">
        <f>IFERROR(VLOOKUP(I281,'[1]ABC Master Lists'!$B$2:$I$346,4,FALSE)," ")</f>
        <v>.</v>
      </c>
      <c r="K281" s="79" t="str">
        <f>IFERROR(VLOOKUP(I281,'[1]ABC Master Lists'!$B$2:$I$346,8,FALSE)," ")</f>
        <v>.</v>
      </c>
      <c r="L281" s="118" t="str">
        <f>IFERROR(VLOOKUP(J281,'[1]ABC Master Lists'!$AQ$2:$AS$12,3,FALSE)," ")</f>
        <v>+</v>
      </c>
      <c r="M281" s="118" t="str">
        <f>IFERROR(VLOOKUP(K281,'[1]ABC Master Lists'!$AD$2:$AE$22,2,FALSE), " ")</f>
        <v>+</v>
      </c>
    </row>
    <row r="282" spans="1:13" x14ac:dyDescent="0.25">
      <c r="D282" s="27">
        <v>2</v>
      </c>
      <c r="E282" s="171" t="s">
        <v>10</v>
      </c>
      <c r="F282" s="172">
        <v>8</v>
      </c>
      <c r="G282" s="163" t="s">
        <v>7</v>
      </c>
      <c r="H282" s="37" t="s">
        <v>67</v>
      </c>
      <c r="I282" s="27">
        <v>89</v>
      </c>
      <c r="J282" s="27">
        <f>IFERROR(VLOOKUP(I282,'[1]ABC Master Lists'!$B$2:$I$346,4,FALSE)," ")</f>
        <v>4</v>
      </c>
      <c r="K282" s="27">
        <f>IFERROR(VLOOKUP(I282,'[1]ABC Master Lists'!$B$2:$I$346,8,FALSE)," ")</f>
        <v>5</v>
      </c>
      <c r="L282" s="120" t="str">
        <f>IFERROR(VLOOKUP(J282,'[1]ABC Master Lists'!$AQ$2:$AS$12,3,FALSE)," ")</f>
        <v>+</v>
      </c>
      <c r="M282" s="120" t="str">
        <f>IFERROR(VLOOKUP(K282,'[1]ABC Master Lists'!$AD$2:$AE$22,2,FALSE), " ")</f>
        <v>+</v>
      </c>
    </row>
    <row r="283" spans="1:13" x14ac:dyDescent="0.25">
      <c r="D283" s="27">
        <v>3</v>
      </c>
      <c r="E283" s="171" t="s">
        <v>6</v>
      </c>
      <c r="F283" s="172">
        <v>9</v>
      </c>
      <c r="G283" s="163" t="s">
        <v>7</v>
      </c>
      <c r="H283" s="37" t="s">
        <v>67</v>
      </c>
      <c r="I283" s="27">
        <v>16</v>
      </c>
      <c r="J283" s="27">
        <f>IFERROR(VLOOKUP(I283,'[1]ABC Master Lists'!$B$2:$I$346,4,FALSE)," ")</f>
        <v>20</v>
      </c>
      <c r="K283" s="27">
        <f>IFERROR(VLOOKUP(I283,'[1]ABC Master Lists'!$B$2:$I$346,8,FALSE)," ")</f>
        <v>5</v>
      </c>
      <c r="L283" s="120" t="str">
        <f>IFERROR(VLOOKUP(J283,'[1]ABC Master Lists'!$AQ$2:$AS$12,3,FALSE)," ")</f>
        <v>+</v>
      </c>
      <c r="M283" s="120" t="str">
        <f>IFERROR(VLOOKUP(K283,'[1]ABC Master Lists'!$AD$2:$AE$22,2,FALSE), " ")</f>
        <v>+</v>
      </c>
    </row>
    <row r="284" spans="1:13" x14ac:dyDescent="0.25">
      <c r="D284" s="27">
        <v>4</v>
      </c>
      <c r="E284" s="171" t="s">
        <v>10</v>
      </c>
      <c r="F284" s="172">
        <v>8</v>
      </c>
      <c r="G284" s="163" t="s">
        <v>7</v>
      </c>
      <c r="H284" s="37" t="s">
        <v>5</v>
      </c>
      <c r="I284" s="27">
        <v>90</v>
      </c>
      <c r="J284" s="27">
        <f>IFERROR(VLOOKUP(I284,'[1]ABC Master Lists'!$B$2:$I$346,4,FALSE)," ")</f>
        <v>4</v>
      </c>
      <c r="K284" s="27">
        <f>IFERROR(VLOOKUP(I284,'[1]ABC Master Lists'!$B$2:$I$346,8,FALSE)," ")</f>
        <v>6</v>
      </c>
      <c r="L284" s="120" t="str">
        <f>IFERROR(VLOOKUP(J284,'[1]ABC Master Lists'!$AQ$2:$AS$12,3,FALSE)," ")</f>
        <v>+</v>
      </c>
      <c r="M284" s="120" t="str">
        <f>IFERROR(VLOOKUP(K284,'[1]ABC Master Lists'!$AD$2:$AE$22,2,FALSE), " ")</f>
        <v>+</v>
      </c>
    </row>
    <row r="285" spans="1:13" x14ac:dyDescent="0.25">
      <c r="D285" s="27">
        <v>5</v>
      </c>
      <c r="E285" s="171" t="s">
        <v>6</v>
      </c>
      <c r="F285" s="172">
        <v>9</v>
      </c>
      <c r="G285" s="163" t="s">
        <v>7</v>
      </c>
      <c r="H285" s="37" t="s">
        <v>5</v>
      </c>
      <c r="I285" s="27">
        <v>17</v>
      </c>
      <c r="J285" s="27">
        <f>IFERROR(VLOOKUP(I285,'[1]ABC Master Lists'!$B$2:$I$346,4,FALSE)," ")</f>
        <v>20</v>
      </c>
      <c r="K285" s="27">
        <f>IFERROR(VLOOKUP(I285,'[1]ABC Master Lists'!$B$2:$I$346,8,FALSE)," ")</f>
        <v>6</v>
      </c>
      <c r="L285" s="120" t="str">
        <f>IFERROR(VLOOKUP(J285,'[1]ABC Master Lists'!$AQ$2:$AS$12,3,FALSE)," ")</f>
        <v>+</v>
      </c>
      <c r="M285" s="120" t="str">
        <f>IFERROR(VLOOKUP(K285,'[1]ABC Master Lists'!$AD$2:$AE$22,2,FALSE), " ")</f>
        <v>+</v>
      </c>
    </row>
    <row r="286" spans="1:13" x14ac:dyDescent="0.25">
      <c r="D286" s="27">
        <v>6</v>
      </c>
      <c r="E286" s="171" t="s">
        <v>10</v>
      </c>
      <c r="F286" s="172">
        <v>8</v>
      </c>
      <c r="G286" s="163" t="s">
        <v>7</v>
      </c>
      <c r="H286" s="37" t="s">
        <v>20</v>
      </c>
      <c r="I286" s="27">
        <v>92</v>
      </c>
      <c r="J286" s="27">
        <f>IFERROR(VLOOKUP(I286,'[1]ABC Master Lists'!$B$2:$I$346,4,FALSE)," ")</f>
        <v>4</v>
      </c>
      <c r="K286" s="27">
        <f>IFERROR(VLOOKUP(I286,'[1]ABC Master Lists'!$B$2:$I$346,8,FALSE)," ")</f>
        <v>8</v>
      </c>
      <c r="L286" s="120" t="str">
        <f>IFERROR(VLOOKUP(J286,'[1]ABC Master Lists'!$AQ$2:$AS$12,3,FALSE)," ")</f>
        <v>+</v>
      </c>
      <c r="M286" s="120" t="str">
        <f>IFERROR(VLOOKUP(K286,'[1]ABC Master Lists'!$AD$2:$AE$22,2,FALSE), " ")</f>
        <v>+</v>
      </c>
    </row>
    <row r="287" spans="1:13" x14ac:dyDescent="0.25">
      <c r="D287" s="27">
        <v>7</v>
      </c>
      <c r="E287" s="171" t="s">
        <v>6</v>
      </c>
      <c r="F287" s="172">
        <v>9</v>
      </c>
      <c r="G287" s="163" t="s">
        <v>7</v>
      </c>
      <c r="H287" s="37" t="s">
        <v>20</v>
      </c>
      <c r="I287" s="27">
        <v>19</v>
      </c>
      <c r="J287" s="27">
        <f>IFERROR(VLOOKUP(I287,'[1]ABC Master Lists'!$B$2:$I$346,4,FALSE)," ")</f>
        <v>20</v>
      </c>
      <c r="K287" s="27">
        <f>IFERROR(VLOOKUP(I287,'[1]ABC Master Lists'!$B$2:$I$346,8,FALSE)," ")</f>
        <v>8</v>
      </c>
      <c r="L287" s="120" t="str">
        <f>IFERROR(VLOOKUP(J287,'[1]ABC Master Lists'!$AQ$2:$AS$12,3,FALSE)," ")</f>
        <v>+</v>
      </c>
      <c r="M287" s="120" t="str">
        <f>IFERROR(VLOOKUP(K287,'[1]ABC Master Lists'!$AD$2:$AE$22,2,FALSE), " ")</f>
        <v>+</v>
      </c>
    </row>
    <row r="288" spans="1:13" x14ac:dyDescent="0.25">
      <c r="D288" s="27">
        <v>8</v>
      </c>
      <c r="E288" s="171" t="s">
        <v>10</v>
      </c>
      <c r="F288" s="172">
        <v>8</v>
      </c>
      <c r="G288" s="163" t="s">
        <v>7</v>
      </c>
      <c r="H288" s="37" t="s">
        <v>65</v>
      </c>
      <c r="I288" s="27">
        <v>94</v>
      </c>
      <c r="J288" s="27">
        <f>IFERROR(VLOOKUP(I288,'[1]ABC Master Lists'!$B$2:$I$346,4,FALSE)," ")</f>
        <v>4</v>
      </c>
      <c r="K288" s="27">
        <f>IFERROR(VLOOKUP(I288,'[1]ABC Master Lists'!$B$2:$I$346,8,FALSE)," ")</f>
        <v>10</v>
      </c>
      <c r="L288" s="120" t="str">
        <f>IFERROR(VLOOKUP(J288,'[1]ABC Master Lists'!$AQ$2:$AS$12,3,FALSE)," ")</f>
        <v>+</v>
      </c>
      <c r="M288" s="120" t="str">
        <f>IFERROR(VLOOKUP(K288,'[1]ABC Master Lists'!$AD$2:$AE$22,2,FALSE), " ")</f>
        <v>+</v>
      </c>
    </row>
    <row r="289" spans="1:13" x14ac:dyDescent="0.25">
      <c r="A289" s="25"/>
      <c r="B289" s="25"/>
      <c r="C289" s="25"/>
      <c r="D289" s="27">
        <v>9</v>
      </c>
      <c r="E289" s="171" t="s">
        <v>6</v>
      </c>
      <c r="F289" s="172">
        <v>9</v>
      </c>
      <c r="G289" s="163" t="s">
        <v>7</v>
      </c>
      <c r="H289" s="37" t="s">
        <v>65</v>
      </c>
      <c r="I289" s="27">
        <v>21</v>
      </c>
      <c r="J289" s="27">
        <f>IFERROR(VLOOKUP(I289,'[1]ABC Master Lists'!$B$2:$I$346,4,FALSE)," ")</f>
        <v>20</v>
      </c>
      <c r="K289" s="27">
        <f>IFERROR(VLOOKUP(I289,'[1]ABC Master Lists'!$B$2:$I$346,8,FALSE)," ")</f>
        <v>10</v>
      </c>
      <c r="L289" s="120" t="str">
        <f>IFERROR(VLOOKUP(J289,'[1]ABC Master Lists'!$AQ$2:$AS$12,3,FALSE)," ")</f>
        <v>+</v>
      </c>
      <c r="M289" s="120" t="str">
        <f>IFERROR(VLOOKUP(K289,'[1]ABC Master Lists'!$AD$2:$AE$22,2,FALSE), " ")</f>
        <v>+</v>
      </c>
    </row>
    <row r="290" spans="1:13" x14ac:dyDescent="0.25">
      <c r="A290" s="24">
        <v>2015</v>
      </c>
      <c r="B290" s="24" t="s">
        <v>162</v>
      </c>
      <c r="C290" s="24" t="s">
        <v>164</v>
      </c>
      <c r="D290" s="27">
        <v>1</v>
      </c>
      <c r="E290" s="171" t="s">
        <v>63</v>
      </c>
      <c r="F290" s="172" t="s">
        <v>2</v>
      </c>
      <c r="G290" s="33" t="s">
        <v>2</v>
      </c>
      <c r="H290" s="37" t="s">
        <v>2</v>
      </c>
      <c r="I290" s="27">
        <v>1</v>
      </c>
      <c r="J290" s="27" t="str">
        <f>IFERROR(VLOOKUP(I290,'[1]ABC Master Lists'!$B$2:$I$346,4,FALSE)," ")</f>
        <v>.</v>
      </c>
      <c r="K290" s="27" t="str">
        <f>IFERROR(VLOOKUP(I290,'[1]ABC Master Lists'!$B$2:$I$346,8,FALSE)," ")</f>
        <v>.</v>
      </c>
      <c r="L290" s="120" t="str">
        <f>IFERROR(VLOOKUP(J290,'[1]ABC Master Lists'!$AQ$2:$AS$12,3,FALSE)," ")</f>
        <v>+</v>
      </c>
      <c r="M290" s="120" t="str">
        <f>IFERROR(VLOOKUP(K290,'[1]ABC Master Lists'!$AD$2:$AE$22,2,FALSE), " ")</f>
        <v>+</v>
      </c>
    </row>
    <row r="291" spans="1:13" x14ac:dyDescent="0.25">
      <c r="D291" s="27">
        <v>2</v>
      </c>
      <c r="E291" s="171" t="s">
        <v>10</v>
      </c>
      <c r="F291" s="172">
        <v>8</v>
      </c>
      <c r="G291" s="163" t="s">
        <v>7</v>
      </c>
      <c r="H291" s="37" t="s">
        <v>5</v>
      </c>
      <c r="I291" s="27">
        <v>90</v>
      </c>
      <c r="J291" s="27">
        <f>IFERROR(VLOOKUP(I291,'[1]ABC Master Lists'!$B$2:$I$346,4,FALSE)," ")</f>
        <v>4</v>
      </c>
      <c r="K291" s="27">
        <f>IFERROR(VLOOKUP(I291,'[1]ABC Master Lists'!$B$2:$I$346,8,FALSE)," ")</f>
        <v>6</v>
      </c>
      <c r="L291" s="120" t="str">
        <f>IFERROR(VLOOKUP(J291,'[1]ABC Master Lists'!$AQ$2:$AS$12,3,FALSE)," ")</f>
        <v>+</v>
      </c>
      <c r="M291" s="120" t="str">
        <f>IFERROR(VLOOKUP(K291,'[1]ABC Master Lists'!$AD$2:$AE$22,2,FALSE), " ")</f>
        <v>+</v>
      </c>
    </row>
    <row r="292" spans="1:13" x14ac:dyDescent="0.25">
      <c r="D292" s="27">
        <v>3</v>
      </c>
      <c r="E292" s="171" t="s">
        <v>68</v>
      </c>
      <c r="F292" s="172">
        <v>12</v>
      </c>
      <c r="G292" s="163" t="s">
        <v>7</v>
      </c>
      <c r="H292" s="37" t="s">
        <v>5</v>
      </c>
      <c r="I292" s="27">
        <v>138</v>
      </c>
      <c r="J292" s="27">
        <f>IFERROR(VLOOKUP(I292,'[1]ABC Master Lists'!$B$2:$I$346,4,FALSE)," ")</f>
        <v>11</v>
      </c>
      <c r="K292" s="27">
        <f>IFERROR(VLOOKUP(I292,'[1]ABC Master Lists'!$B$2:$I$346,8,FALSE)," ")</f>
        <v>6</v>
      </c>
      <c r="L292" s="120" t="str">
        <f>IFERROR(VLOOKUP(J292,'[1]ABC Master Lists'!$AQ$2:$AS$12,3,FALSE)," ")</f>
        <v>+</v>
      </c>
      <c r="M292" s="120" t="str">
        <f>IFERROR(VLOOKUP(K292,'[1]ABC Master Lists'!$AD$2:$AE$22,2,FALSE), " ")</f>
        <v>+</v>
      </c>
    </row>
    <row r="293" spans="1:13" x14ac:dyDescent="0.25">
      <c r="D293" s="27">
        <v>4</v>
      </c>
      <c r="E293" s="171" t="s">
        <v>50</v>
      </c>
      <c r="F293" s="172">
        <v>20</v>
      </c>
      <c r="G293" s="163" t="s">
        <v>7</v>
      </c>
      <c r="H293" s="37" t="s">
        <v>5</v>
      </c>
      <c r="I293" s="27">
        <v>123</v>
      </c>
      <c r="J293" s="27">
        <f>IFERROR(VLOOKUP(I293,'[1]ABC Master Lists'!$B$2:$I$346,4,FALSE)," ")</f>
        <v>28</v>
      </c>
      <c r="K293" s="27">
        <f>IFERROR(VLOOKUP(I293,'[1]ABC Master Lists'!$B$2:$I$346,8,FALSE)," ")</f>
        <v>6</v>
      </c>
      <c r="L293" s="120" t="str">
        <f>IFERROR(VLOOKUP(J293,'[1]ABC Master Lists'!$AQ$2:$AS$12,3,FALSE)," ")</f>
        <v>+</v>
      </c>
      <c r="M293" s="120" t="str">
        <f>IFERROR(VLOOKUP(K293,'[1]ABC Master Lists'!$AD$2:$AE$22,2,FALSE), " ")</f>
        <v>+</v>
      </c>
    </row>
    <row r="294" spans="1:13" x14ac:dyDescent="0.25">
      <c r="D294" s="27">
        <v>5</v>
      </c>
      <c r="E294" s="171" t="s">
        <v>69</v>
      </c>
      <c r="F294" s="172">
        <v>12</v>
      </c>
      <c r="G294" s="163" t="s">
        <v>7</v>
      </c>
      <c r="H294" s="37" t="s">
        <v>5</v>
      </c>
      <c r="I294" s="27">
        <v>112</v>
      </c>
      <c r="J294" s="27">
        <f>IFERROR(VLOOKUP(I294,'[1]ABC Master Lists'!$B$2:$I$346,4,FALSE)," ")</f>
        <v>24</v>
      </c>
      <c r="K294" s="27">
        <f>IFERROR(VLOOKUP(I294,'[1]ABC Master Lists'!$B$2:$I$346,8,FALSE)," ")</f>
        <v>6</v>
      </c>
      <c r="L294" s="120" t="str">
        <f>IFERROR(VLOOKUP(J294,'[1]ABC Master Lists'!$AQ$2:$AS$12,3,FALSE)," ")</f>
        <v xml:space="preserve"> </v>
      </c>
      <c r="M294" s="120" t="str">
        <f>IFERROR(VLOOKUP(K294,'[1]ABC Master Lists'!$AD$2:$AE$22,2,FALSE), " ")</f>
        <v>+</v>
      </c>
    </row>
    <row r="295" spans="1:13" x14ac:dyDescent="0.25">
      <c r="D295" s="27">
        <v>6</v>
      </c>
      <c r="E295" s="171" t="s">
        <v>70</v>
      </c>
      <c r="F295" s="172">
        <v>6.8</v>
      </c>
      <c r="G295" s="163" t="s">
        <v>7</v>
      </c>
      <c r="H295" s="37" t="s">
        <v>5</v>
      </c>
      <c r="I295" s="27">
        <v>6</v>
      </c>
      <c r="J295" s="27" t="str">
        <f>IFERROR(VLOOKUP(I295,'[1]ABC Master Lists'!$B$2:$I$346,4,FALSE)," ")</f>
        <v>U</v>
      </c>
      <c r="K295" s="27">
        <f>IFERROR(VLOOKUP(I295,'[1]ABC Master Lists'!$B$2:$I$346,8,FALSE)," ")</f>
        <v>6</v>
      </c>
      <c r="L295" s="120" t="str">
        <f>IFERROR(VLOOKUP(J295,'[1]ABC Master Lists'!$AQ$2:$AS$12,3,FALSE)," ")</f>
        <v xml:space="preserve"> </v>
      </c>
      <c r="M295" s="120" t="str">
        <f>IFERROR(VLOOKUP(K295,'[1]ABC Master Lists'!$AD$2:$AE$22,2,FALSE), " ")</f>
        <v>+</v>
      </c>
    </row>
    <row r="296" spans="1:13" x14ac:dyDescent="0.25">
      <c r="D296" s="26">
        <v>7</v>
      </c>
      <c r="E296" s="52" t="s">
        <v>68</v>
      </c>
      <c r="F296" s="4">
        <v>12</v>
      </c>
      <c r="G296" s="59" t="s">
        <v>7</v>
      </c>
      <c r="H296" s="36" t="s">
        <v>5</v>
      </c>
      <c r="I296" s="36">
        <v>144</v>
      </c>
      <c r="J296" s="79">
        <f>IFERROR(VLOOKUP(I296,'[1]ABC Master Lists'!$B$2:$I$346,4,FALSE)," ")</f>
        <v>1128</v>
      </c>
      <c r="K296" s="79">
        <f>IFERROR(VLOOKUP(I296,'[1]ABC Master Lists'!$B$2:$I$346,8,FALSE)," ")</f>
        <v>6</v>
      </c>
      <c r="L296" s="118" t="str">
        <f>IFERROR(VLOOKUP(J296,'[1]ABC Master Lists'!$AQ$2:$AS$12,3,FALSE)," ")</f>
        <v xml:space="preserve"> </v>
      </c>
      <c r="M296" s="118" t="str">
        <f>IFERROR(VLOOKUP(K296,'[1]ABC Master Lists'!$AD$2:$AE$22,2,FALSE), " ")</f>
        <v>+</v>
      </c>
    </row>
    <row r="297" spans="1:13" x14ac:dyDescent="0.25">
      <c r="E297" s="52" t="s">
        <v>50</v>
      </c>
      <c r="F297" s="4">
        <v>10</v>
      </c>
      <c r="G297" s="59" t="s">
        <v>7</v>
      </c>
      <c r="H297" s="36" t="s">
        <v>5</v>
      </c>
      <c r="J297" s="79" t="str">
        <f>IFERROR(VLOOKUP(I297,'[1]ABC Master Lists'!$B$2:$I$346,4,FALSE)," ")</f>
        <v xml:space="preserve"> </v>
      </c>
      <c r="K297" s="79" t="str">
        <f>IFERROR(VLOOKUP(I297,'[1]ABC Master Lists'!$B$2:$I$346,8,FALSE)," ")</f>
        <v xml:space="preserve"> </v>
      </c>
      <c r="L297" s="118" t="str">
        <f>IFERROR(VLOOKUP(J297,'[1]ABC Master Lists'!$AQ$2:$AS$12,3,FALSE)," ")</f>
        <v xml:space="preserve"> </v>
      </c>
      <c r="M297" s="118" t="str">
        <f>IFERROR(VLOOKUP(K297,'[1]ABC Master Lists'!$AD$2:$AE$22,2,FALSE), " ")</f>
        <v xml:space="preserve"> </v>
      </c>
    </row>
    <row r="298" spans="1:13" x14ac:dyDescent="0.25">
      <c r="D298" s="28">
        <v>8</v>
      </c>
      <c r="E298" s="166" t="s">
        <v>68</v>
      </c>
      <c r="F298" s="20">
        <v>12</v>
      </c>
      <c r="G298" s="167" t="s">
        <v>7</v>
      </c>
      <c r="H298" s="38" t="s">
        <v>5</v>
      </c>
      <c r="I298" s="38">
        <v>145</v>
      </c>
      <c r="J298" s="83">
        <f>IFERROR(VLOOKUP(I298,'[1]ABC Master Lists'!$B$2:$I$346,4,FALSE)," ")</f>
        <v>1128</v>
      </c>
      <c r="K298" s="83">
        <f>IFERROR(VLOOKUP(I298,'[1]ABC Master Lists'!$B$2:$I$346,8,FALSE)," ")</f>
        <v>6</v>
      </c>
      <c r="L298" s="122" t="str">
        <f>IFERROR(VLOOKUP(J298,'[1]ABC Master Lists'!$AQ$2:$AS$12,3,FALSE)," ")</f>
        <v xml:space="preserve"> </v>
      </c>
      <c r="M298" s="122" t="str">
        <f>IFERROR(VLOOKUP(K298,'[1]ABC Master Lists'!$AD$2:$AE$22,2,FALSE), " ")</f>
        <v>+</v>
      </c>
    </row>
    <row r="299" spans="1:13" x14ac:dyDescent="0.25">
      <c r="D299" s="29"/>
      <c r="E299" s="99" t="s">
        <v>50</v>
      </c>
      <c r="F299" s="23">
        <v>20</v>
      </c>
      <c r="G299" s="116" t="s">
        <v>7</v>
      </c>
      <c r="H299" s="39" t="s">
        <v>5</v>
      </c>
      <c r="I299" s="39"/>
      <c r="J299" s="82" t="str">
        <f>IFERROR(VLOOKUP(I299,'[1]ABC Master Lists'!$B$2:$I$346,4,FALSE)," ")</f>
        <v xml:space="preserve"> </v>
      </c>
      <c r="K299" s="82" t="str">
        <f>IFERROR(VLOOKUP(I299,'[1]ABC Master Lists'!$B$2:$I$346,8,FALSE)," ")</f>
        <v xml:space="preserve"> </v>
      </c>
      <c r="L299" s="121" t="str">
        <f>IFERROR(VLOOKUP(J299,'[1]ABC Master Lists'!$AQ$2:$AS$12,3,FALSE)," ")</f>
        <v xml:space="preserve"> </v>
      </c>
      <c r="M299" s="121" t="str">
        <f>IFERROR(VLOOKUP(K299,'[1]ABC Master Lists'!$AD$2:$AE$22,2,FALSE), " ")</f>
        <v xml:space="preserve"> </v>
      </c>
    </row>
    <row r="300" spans="1:13" x14ac:dyDescent="0.25">
      <c r="D300" s="26">
        <v>9</v>
      </c>
      <c r="E300" s="52" t="s">
        <v>68</v>
      </c>
      <c r="F300" s="4">
        <v>12</v>
      </c>
      <c r="G300" s="59" t="s">
        <v>7</v>
      </c>
      <c r="H300" s="36" t="s">
        <v>5</v>
      </c>
      <c r="I300" s="36">
        <v>142</v>
      </c>
      <c r="J300" s="79">
        <f>IFERROR(VLOOKUP(I300,'[1]ABC Master Lists'!$B$2:$I$346,4,FALSE)," ")</f>
        <v>1124</v>
      </c>
      <c r="K300" s="79">
        <f>IFERROR(VLOOKUP(I300,'[1]ABC Master Lists'!$B$2:$I$346,8,FALSE)," ")</f>
        <v>6</v>
      </c>
      <c r="L300" s="118" t="str">
        <f>IFERROR(VLOOKUP(J300,'[1]ABC Master Lists'!$AQ$2:$AS$12,3,FALSE)," ")</f>
        <v xml:space="preserve"> </v>
      </c>
      <c r="M300" s="118" t="str">
        <f>IFERROR(VLOOKUP(K300,'[1]ABC Master Lists'!$AD$2:$AE$22,2,FALSE), " ")</f>
        <v>+</v>
      </c>
    </row>
    <row r="301" spans="1:13" x14ac:dyDescent="0.25">
      <c r="E301" s="52" t="s">
        <v>69</v>
      </c>
      <c r="F301" s="4">
        <v>6</v>
      </c>
      <c r="G301" s="59" t="s">
        <v>7</v>
      </c>
      <c r="H301" s="36" t="s">
        <v>5</v>
      </c>
      <c r="J301" s="79" t="str">
        <f>IFERROR(VLOOKUP(I301,'[1]ABC Master Lists'!$B$2:$I$346,4,FALSE)," ")</f>
        <v xml:space="preserve"> </v>
      </c>
      <c r="K301" s="79" t="str">
        <f>IFERROR(VLOOKUP(I301,'[1]ABC Master Lists'!$B$2:$I$346,8,FALSE)," ")</f>
        <v xml:space="preserve"> </v>
      </c>
      <c r="L301" s="118" t="str">
        <f>IFERROR(VLOOKUP(J301,'[1]ABC Master Lists'!$AQ$2:$AS$12,3,FALSE)," ")</f>
        <v xml:space="preserve"> </v>
      </c>
      <c r="M301" s="118" t="str">
        <f>IFERROR(VLOOKUP(K301,'[1]ABC Master Lists'!$AD$2:$AE$22,2,FALSE), " ")</f>
        <v xml:space="preserve"> </v>
      </c>
    </row>
    <row r="302" spans="1:13" x14ac:dyDescent="0.25">
      <c r="D302" s="28">
        <v>10</v>
      </c>
      <c r="E302" s="166" t="s">
        <v>68</v>
      </c>
      <c r="F302" s="20">
        <v>12</v>
      </c>
      <c r="G302" s="167" t="s">
        <v>7</v>
      </c>
      <c r="H302" s="38" t="s">
        <v>5</v>
      </c>
      <c r="I302" s="38">
        <v>143</v>
      </c>
      <c r="J302" s="83">
        <f>IFERROR(VLOOKUP(I302,'[1]ABC Master Lists'!$B$2:$I$346,4,FALSE)," ")</f>
        <v>1124</v>
      </c>
      <c r="K302" s="83">
        <f>IFERROR(VLOOKUP(I302,'[1]ABC Master Lists'!$B$2:$I$346,8,FALSE)," ")</f>
        <v>6</v>
      </c>
      <c r="L302" s="122" t="str">
        <f>IFERROR(VLOOKUP(J302,'[1]ABC Master Lists'!$AQ$2:$AS$12,3,FALSE)," ")</f>
        <v xml:space="preserve"> </v>
      </c>
      <c r="M302" s="122" t="str">
        <f>IFERROR(VLOOKUP(K302,'[1]ABC Master Lists'!$AD$2:$AE$22,2,FALSE), " ")</f>
        <v>+</v>
      </c>
    </row>
    <row r="303" spans="1:13" x14ac:dyDescent="0.25">
      <c r="D303" s="29"/>
      <c r="E303" s="99" t="s">
        <v>69</v>
      </c>
      <c r="F303" s="23">
        <v>12</v>
      </c>
      <c r="G303" s="116" t="s">
        <v>7</v>
      </c>
      <c r="H303" s="39" t="s">
        <v>5</v>
      </c>
      <c r="I303" s="39"/>
      <c r="J303" s="82" t="str">
        <f>IFERROR(VLOOKUP(I303,'[1]ABC Master Lists'!$B$2:$I$346,4,FALSE)," ")</f>
        <v xml:space="preserve"> </v>
      </c>
      <c r="K303" s="82" t="str">
        <f>IFERROR(VLOOKUP(I303,'[1]ABC Master Lists'!$B$2:$I$346,8,FALSE)," ")</f>
        <v xml:space="preserve"> </v>
      </c>
      <c r="L303" s="121" t="str">
        <f>IFERROR(VLOOKUP(J303,'[1]ABC Master Lists'!$AQ$2:$AS$12,3,FALSE)," ")</f>
        <v xml:space="preserve"> </v>
      </c>
      <c r="M303" s="121" t="str">
        <f>IFERROR(VLOOKUP(K303,'[1]ABC Master Lists'!$AD$2:$AE$22,2,FALSE), " ")</f>
        <v xml:space="preserve"> </v>
      </c>
    </row>
    <row r="304" spans="1:13" x14ac:dyDescent="0.25">
      <c r="D304" s="26">
        <v>11</v>
      </c>
      <c r="E304" s="52" t="s">
        <v>68</v>
      </c>
      <c r="F304" s="4">
        <v>12</v>
      </c>
      <c r="G304" s="59" t="s">
        <v>7</v>
      </c>
      <c r="H304" s="36" t="s">
        <v>5</v>
      </c>
      <c r="I304" s="36">
        <v>148</v>
      </c>
      <c r="J304" s="79" t="str">
        <f>IFERROR(VLOOKUP(I304,'[1]ABC Master Lists'!$B$2:$I$346,4,FALSE)," ")</f>
        <v>U1128</v>
      </c>
      <c r="K304" s="79">
        <f>IFERROR(VLOOKUP(I304,'[1]ABC Master Lists'!$B$2:$I$346,8,FALSE)," ")</f>
        <v>6</v>
      </c>
      <c r="L304" s="118" t="str">
        <f>IFERROR(VLOOKUP(J304,'[1]ABC Master Lists'!$AQ$2:$AS$12,3,FALSE)," ")</f>
        <v xml:space="preserve"> </v>
      </c>
      <c r="M304" s="118" t="str">
        <f>IFERROR(VLOOKUP(K304,'[1]ABC Master Lists'!$AD$2:$AE$22,2,FALSE), " ")</f>
        <v>+</v>
      </c>
    </row>
    <row r="305" spans="1:13" x14ac:dyDescent="0.25">
      <c r="E305" s="52" t="s">
        <v>50</v>
      </c>
      <c r="F305" s="4">
        <v>20</v>
      </c>
      <c r="G305" s="59" t="s">
        <v>7</v>
      </c>
      <c r="H305" s="36" t="s">
        <v>5</v>
      </c>
      <c r="J305" s="79" t="str">
        <f>IFERROR(VLOOKUP(I305,'[1]ABC Master Lists'!$B$2:$I$346,4,FALSE)," ")</f>
        <v xml:space="preserve"> </v>
      </c>
      <c r="K305" s="79" t="str">
        <f>IFERROR(VLOOKUP(I305,'[1]ABC Master Lists'!$B$2:$I$346,8,FALSE)," ")</f>
        <v xml:space="preserve"> </v>
      </c>
      <c r="L305" s="118" t="str">
        <f>IFERROR(VLOOKUP(J305,'[1]ABC Master Lists'!$AQ$2:$AS$12,3,FALSE)," ")</f>
        <v xml:space="preserve"> </v>
      </c>
      <c r="M305" s="118" t="str">
        <f>IFERROR(VLOOKUP(K305,'[1]ABC Master Lists'!$AD$2:$AE$22,2,FALSE), " ")</f>
        <v xml:space="preserve"> </v>
      </c>
    </row>
    <row r="306" spans="1:13" x14ac:dyDescent="0.25">
      <c r="E306" s="52" t="s">
        <v>70</v>
      </c>
      <c r="F306" s="4">
        <v>6.8</v>
      </c>
      <c r="G306" s="59" t="s">
        <v>7</v>
      </c>
      <c r="H306" s="36" t="s">
        <v>5</v>
      </c>
      <c r="J306" s="79" t="str">
        <f>IFERROR(VLOOKUP(I306,'[1]ABC Master Lists'!$B$2:$I$346,4,FALSE)," ")</f>
        <v xml:space="preserve"> </v>
      </c>
      <c r="K306" s="79" t="str">
        <f>IFERROR(VLOOKUP(I306,'[1]ABC Master Lists'!$B$2:$I$346,8,FALSE)," ")</f>
        <v xml:space="preserve"> </v>
      </c>
      <c r="L306" s="118" t="str">
        <f>IFERROR(VLOOKUP(J306,'[1]ABC Master Lists'!$AQ$2:$AS$12,3,FALSE)," ")</f>
        <v xml:space="preserve"> </v>
      </c>
      <c r="M306" s="118" t="str">
        <f>IFERROR(VLOOKUP(K306,'[1]ABC Master Lists'!$AD$2:$AE$22,2,FALSE), " ")</f>
        <v xml:space="preserve"> </v>
      </c>
    </row>
    <row r="307" spans="1:13" x14ac:dyDescent="0.25">
      <c r="A307" s="31">
        <v>2015</v>
      </c>
      <c r="B307" s="31" t="s">
        <v>162</v>
      </c>
      <c r="C307" s="31" t="s">
        <v>165</v>
      </c>
      <c r="D307" s="27">
        <v>1</v>
      </c>
      <c r="E307" s="165" t="s">
        <v>71</v>
      </c>
      <c r="F307" s="17" t="s">
        <v>2</v>
      </c>
      <c r="G307" s="33" t="s">
        <v>2</v>
      </c>
      <c r="H307" s="37" t="s">
        <v>2</v>
      </c>
      <c r="I307" s="37">
        <v>1</v>
      </c>
      <c r="J307" s="81" t="str">
        <f>IFERROR(VLOOKUP(I307,'[1]ABC Master Lists'!$B$2:$I$346,4,FALSE)," ")</f>
        <v>.</v>
      </c>
      <c r="K307" s="81" t="str">
        <f>IFERROR(VLOOKUP(I307,'[1]ABC Master Lists'!$B$2:$I$346,8,FALSE)," ")</f>
        <v>.</v>
      </c>
      <c r="L307" s="120" t="str">
        <f>IFERROR(VLOOKUP(J307,'[1]ABC Master Lists'!$AQ$2:$AS$12,3,FALSE)," ")</f>
        <v>+</v>
      </c>
      <c r="M307" s="120" t="str">
        <f>IFERROR(VLOOKUP(K307,'[1]ABC Master Lists'!$AD$2:$AE$22,2,FALSE), " ")</f>
        <v>+</v>
      </c>
    </row>
    <row r="308" spans="1:13" x14ac:dyDescent="0.25">
      <c r="D308" s="27">
        <v>2</v>
      </c>
      <c r="E308" s="165" t="s">
        <v>6</v>
      </c>
      <c r="F308" s="4">
        <v>6</v>
      </c>
      <c r="G308" s="59" t="s">
        <v>7</v>
      </c>
      <c r="H308" s="27" t="s">
        <v>20</v>
      </c>
      <c r="I308" s="27">
        <v>236</v>
      </c>
      <c r="J308" s="27">
        <f>IFERROR(VLOOKUP(I308,'[1]ABC Master Lists'!$B$2:$I$346,4,FALSE)," ")</f>
        <v>20</v>
      </c>
      <c r="K308" s="27">
        <f>IFERROR(VLOOKUP(I308,'[1]ABC Master Lists'!$B$2:$I$346,8,FALSE)," ")</f>
        <v>8</v>
      </c>
      <c r="L308" s="120" t="str">
        <f>IFERROR(VLOOKUP(J308,'[1]ABC Master Lists'!$AQ$2:$AS$12,3,FALSE)," ")</f>
        <v>+</v>
      </c>
      <c r="M308" s="120" t="str">
        <f>IFERROR(VLOOKUP(K308,'[1]ABC Master Lists'!$AD$2:$AE$22,2,FALSE), " ")</f>
        <v>+</v>
      </c>
    </row>
    <row r="309" spans="1:13" x14ac:dyDescent="0.25">
      <c r="D309" s="27">
        <v>3</v>
      </c>
      <c r="E309" s="165" t="s">
        <v>6</v>
      </c>
      <c r="F309" s="172">
        <v>9</v>
      </c>
      <c r="G309" s="163" t="s">
        <v>7</v>
      </c>
      <c r="H309" s="27" t="s">
        <v>20</v>
      </c>
      <c r="I309" s="27">
        <v>19</v>
      </c>
      <c r="J309" s="27">
        <f>IFERROR(VLOOKUP(I309,'[1]ABC Master Lists'!$B$2:$I$346,4,FALSE)," ")</f>
        <v>20</v>
      </c>
      <c r="K309" s="27">
        <f>IFERROR(VLOOKUP(I309,'[1]ABC Master Lists'!$B$2:$I$346,8,FALSE)," ")</f>
        <v>8</v>
      </c>
      <c r="L309" s="120" t="str">
        <f>IFERROR(VLOOKUP(J309,'[1]ABC Master Lists'!$AQ$2:$AS$12,3,FALSE)," ")</f>
        <v>+</v>
      </c>
      <c r="M309" s="120" t="str">
        <f>IFERROR(VLOOKUP(K309,'[1]ABC Master Lists'!$AD$2:$AE$22,2,FALSE), " ")</f>
        <v>+</v>
      </c>
    </row>
    <row r="310" spans="1:13" x14ac:dyDescent="0.25">
      <c r="D310" s="27">
        <v>4</v>
      </c>
      <c r="E310" s="165" t="s">
        <v>44</v>
      </c>
      <c r="F310" s="4">
        <v>4</v>
      </c>
      <c r="G310" s="59" t="s">
        <v>7</v>
      </c>
      <c r="H310" s="27" t="s">
        <v>20</v>
      </c>
      <c r="I310" s="27">
        <v>153</v>
      </c>
      <c r="J310" s="27">
        <f>IFERROR(VLOOKUP(I310,'[1]ABC Master Lists'!$B$2:$I$346,4,FALSE)," ")</f>
        <v>1624</v>
      </c>
      <c r="K310" s="27">
        <f>IFERROR(VLOOKUP(I310,'[1]ABC Master Lists'!$B$2:$I$346,8,FALSE)," ")</f>
        <v>8</v>
      </c>
      <c r="L310" s="120" t="str">
        <f>IFERROR(VLOOKUP(J310,'[1]ABC Master Lists'!$AQ$2:$AS$12,3,FALSE)," ")</f>
        <v xml:space="preserve"> </v>
      </c>
      <c r="M310" s="120" t="str">
        <f>IFERROR(VLOOKUP(K310,'[1]ABC Master Lists'!$AD$2:$AE$22,2,FALSE), " ")</f>
        <v>+</v>
      </c>
    </row>
    <row r="311" spans="1:13" x14ac:dyDescent="0.25">
      <c r="D311" s="27">
        <v>5</v>
      </c>
      <c r="E311" s="165" t="s">
        <v>72</v>
      </c>
      <c r="F311" s="172">
        <v>10.5</v>
      </c>
      <c r="G311" s="163" t="s">
        <v>7</v>
      </c>
      <c r="H311" s="27" t="s">
        <v>20</v>
      </c>
      <c r="I311" s="27">
        <v>185</v>
      </c>
      <c r="J311" s="27">
        <f>IFERROR(VLOOKUP(I311,'[1]ABC Master Lists'!$B$2:$I$346,4,FALSE)," ")</f>
        <v>121</v>
      </c>
      <c r="K311" s="27">
        <f>IFERROR(VLOOKUP(I311,'[1]ABC Master Lists'!$B$2:$I$346,8,FALSE)," ")</f>
        <v>8</v>
      </c>
      <c r="L311" s="120" t="str">
        <f>IFERROR(VLOOKUP(J311,'[1]ABC Master Lists'!$AQ$2:$AS$12,3,FALSE)," ")</f>
        <v xml:space="preserve"> </v>
      </c>
      <c r="M311" s="120" t="str">
        <f>IFERROR(VLOOKUP(K311,'[1]ABC Master Lists'!$AD$2:$AE$22,2,FALSE), " ")</f>
        <v>+</v>
      </c>
    </row>
    <row r="312" spans="1:13" x14ac:dyDescent="0.25">
      <c r="D312" s="27">
        <v>6</v>
      </c>
      <c r="E312" s="165" t="s">
        <v>28</v>
      </c>
      <c r="F312" s="4">
        <v>4</v>
      </c>
      <c r="G312" s="59" t="s">
        <v>7</v>
      </c>
      <c r="H312" s="27" t="s">
        <v>20</v>
      </c>
      <c r="I312" s="27">
        <v>200</v>
      </c>
      <c r="J312" s="27">
        <f>IFERROR(VLOOKUP(I312,'[1]ABC Master Lists'!$B$2:$I$346,4,FALSE)," ")</f>
        <v>2229</v>
      </c>
      <c r="K312" s="27">
        <f>IFERROR(VLOOKUP(I312,'[1]ABC Master Lists'!$B$2:$I$346,8,FALSE)," ")</f>
        <v>8</v>
      </c>
      <c r="L312" s="120" t="str">
        <f>IFERROR(VLOOKUP(J312,'[1]ABC Master Lists'!$AQ$2:$AS$12,3,FALSE)," ")</f>
        <v>+</v>
      </c>
      <c r="M312" s="120" t="str">
        <f>IFERROR(VLOOKUP(K312,'[1]ABC Master Lists'!$AD$2:$AE$22,2,FALSE), " ")</f>
        <v>+</v>
      </c>
    </row>
    <row r="313" spans="1:13" x14ac:dyDescent="0.25">
      <c r="D313" s="26">
        <v>7</v>
      </c>
      <c r="E313" s="52" t="s">
        <v>73</v>
      </c>
      <c r="F313" s="173">
        <v>4</v>
      </c>
      <c r="G313" s="167" t="s">
        <v>7</v>
      </c>
      <c r="H313" s="36" t="s">
        <v>20</v>
      </c>
      <c r="I313" s="36">
        <v>237</v>
      </c>
      <c r="J313" s="79">
        <f>IFERROR(VLOOKUP(I313,'[1]ABC Master Lists'!$B$2:$I$346,4,FALSE)," ")</f>
        <v>62229</v>
      </c>
      <c r="K313" s="79">
        <f>IFERROR(VLOOKUP(I313,'[1]ABC Master Lists'!$B$2:$I$346,8,FALSE)," ")</f>
        <v>8</v>
      </c>
      <c r="L313" s="118" t="str">
        <f>IFERROR(VLOOKUP(J313,'[1]ABC Master Lists'!$AQ$2:$AS$12,3,FALSE)," ")</f>
        <v xml:space="preserve"> </v>
      </c>
      <c r="M313" s="118" t="str">
        <f>IFERROR(VLOOKUP(K313,'[1]ABC Master Lists'!$AD$2:$AE$22,2,FALSE), " ")</f>
        <v>+</v>
      </c>
    </row>
    <row r="314" spans="1:13" x14ac:dyDescent="0.25">
      <c r="E314" s="52" t="s">
        <v>74</v>
      </c>
      <c r="F314" s="174">
        <v>2.8</v>
      </c>
      <c r="G314" s="116" t="s">
        <v>7</v>
      </c>
      <c r="H314" s="36" t="s">
        <v>20</v>
      </c>
      <c r="J314" s="79" t="str">
        <f>IFERROR(VLOOKUP(I314,'[1]ABC Master Lists'!$B$2:$I$346,4,FALSE)," ")</f>
        <v xml:space="preserve"> </v>
      </c>
      <c r="K314" s="79" t="str">
        <f>IFERROR(VLOOKUP(I314,'[1]ABC Master Lists'!$B$2:$I$346,8,FALSE)," ")</f>
        <v xml:space="preserve"> </v>
      </c>
      <c r="L314" s="118" t="str">
        <f>IFERROR(VLOOKUP(J314,'[1]ABC Master Lists'!$AQ$2:$AS$12,3,FALSE)," ")</f>
        <v xml:space="preserve"> </v>
      </c>
      <c r="M314" s="118" t="str">
        <f>IFERROR(VLOOKUP(K314,'[1]ABC Master Lists'!$AD$2:$AE$22,2,FALSE), " ")</f>
        <v xml:space="preserve"> </v>
      </c>
    </row>
    <row r="315" spans="1:13" x14ac:dyDescent="0.25">
      <c r="D315" s="27">
        <v>8</v>
      </c>
      <c r="E315" s="165" t="s">
        <v>56</v>
      </c>
      <c r="F315" s="4">
        <v>8</v>
      </c>
      <c r="G315" s="59" t="s">
        <v>7</v>
      </c>
      <c r="H315" s="81" t="s">
        <v>20</v>
      </c>
      <c r="I315" s="27">
        <v>37</v>
      </c>
      <c r="J315" s="27">
        <f>IFERROR(VLOOKUP(I315,'[1]ABC Master Lists'!$B$2:$I$346,4,FALSE)," ")</f>
        <v>208</v>
      </c>
      <c r="K315" s="27">
        <f>IFERROR(VLOOKUP(I315,'[1]ABC Master Lists'!$B$2:$I$346,8,FALSE)," ")</f>
        <v>8</v>
      </c>
      <c r="L315" s="120" t="str">
        <f>IFERROR(VLOOKUP(J315,'[1]ABC Master Lists'!$AQ$2:$AS$12,3,FALSE)," ")</f>
        <v xml:space="preserve"> </v>
      </c>
      <c r="M315" s="120" t="str">
        <f>IFERROR(VLOOKUP(K315,'[1]ABC Master Lists'!$AD$2:$AE$22,2,FALSE), " ")</f>
        <v>+</v>
      </c>
    </row>
    <row r="316" spans="1:13" x14ac:dyDescent="0.25">
      <c r="D316" s="27">
        <v>9</v>
      </c>
      <c r="E316" s="165" t="s">
        <v>49</v>
      </c>
      <c r="F316" s="172">
        <v>8</v>
      </c>
      <c r="G316" s="163" t="s">
        <v>7</v>
      </c>
      <c r="H316" s="27" t="s">
        <v>20</v>
      </c>
      <c r="I316" s="36">
        <v>182</v>
      </c>
      <c r="J316" s="79">
        <f>IFERROR(VLOOKUP(I316,'[1]ABC Master Lists'!$B$2:$I$346,4,FALSE)," ")</f>
        <v>19</v>
      </c>
      <c r="K316" s="79">
        <f>IFERROR(VLOOKUP(I316,'[1]ABC Master Lists'!$B$2:$I$346,8,FALSE)," ")</f>
        <v>8</v>
      </c>
      <c r="L316" s="118" t="str">
        <f>IFERROR(VLOOKUP(J316,'[1]ABC Master Lists'!$AQ$2:$AS$12,3,FALSE)," ")</f>
        <v xml:space="preserve"> </v>
      </c>
      <c r="M316" s="118" t="str">
        <f>IFERROR(VLOOKUP(K316,'[1]ABC Master Lists'!$AD$2:$AE$22,2,FALSE), " ")</f>
        <v>+</v>
      </c>
    </row>
    <row r="317" spans="1:13" x14ac:dyDescent="0.25">
      <c r="D317" s="27">
        <v>10</v>
      </c>
      <c r="E317" s="165" t="s">
        <v>48</v>
      </c>
      <c r="F317" s="4">
        <v>5</v>
      </c>
      <c r="G317" s="59" t="s">
        <v>7</v>
      </c>
      <c r="H317" s="27" t="s">
        <v>20</v>
      </c>
      <c r="I317" s="27">
        <v>108</v>
      </c>
      <c r="J317" s="27">
        <f>IFERROR(VLOOKUP(I317,'[1]ABC Master Lists'!$B$2:$I$346,4,FALSE)," ")</f>
        <v>1415</v>
      </c>
      <c r="K317" s="27">
        <f>IFERROR(VLOOKUP(I317,'[1]ABC Master Lists'!$B$2:$I$346,8,FALSE)," ")</f>
        <v>8</v>
      </c>
      <c r="L317" s="120" t="str">
        <f>IFERROR(VLOOKUP(J317,'[1]ABC Master Lists'!$AQ$2:$AS$12,3,FALSE)," ")</f>
        <v>+</v>
      </c>
      <c r="M317" s="120" t="str">
        <f>IFERROR(VLOOKUP(K317,'[1]ABC Master Lists'!$AD$2:$AE$22,2,FALSE), " ")</f>
        <v>+</v>
      </c>
    </row>
    <row r="318" spans="1:13" x14ac:dyDescent="0.25">
      <c r="D318" s="26">
        <v>11</v>
      </c>
      <c r="E318" s="52" t="s">
        <v>75</v>
      </c>
      <c r="F318" s="173">
        <v>10.5</v>
      </c>
      <c r="G318" s="167" t="s">
        <v>7</v>
      </c>
      <c r="H318" s="36" t="s">
        <v>20</v>
      </c>
      <c r="I318" s="36">
        <v>224</v>
      </c>
      <c r="J318" s="79" t="str">
        <f>IFERROR(VLOOKUP(I318,'[1]ABC Master Lists'!$B$2:$I$346,4,FALSE)," ")</f>
        <v>U1221</v>
      </c>
      <c r="K318" s="79">
        <f>IFERROR(VLOOKUP(I318,'[1]ABC Master Lists'!$B$2:$I$346,8,FALSE)," ")</f>
        <v>8</v>
      </c>
      <c r="L318" s="118" t="str">
        <f>IFERROR(VLOOKUP(J318,'[1]ABC Master Lists'!$AQ$2:$AS$12,3,FALSE)," ")</f>
        <v xml:space="preserve"> </v>
      </c>
      <c r="M318" s="118" t="str">
        <f>IFERROR(VLOOKUP(K318,'[1]ABC Master Lists'!$AD$2:$AE$22,2,FALSE), " ")</f>
        <v>+</v>
      </c>
    </row>
    <row r="319" spans="1:13" x14ac:dyDescent="0.25">
      <c r="E319" s="52" t="s">
        <v>76</v>
      </c>
      <c r="F319" s="174">
        <v>4.0999999999999996</v>
      </c>
      <c r="G319" s="116" t="s">
        <v>7</v>
      </c>
      <c r="H319" s="36" t="s">
        <v>20</v>
      </c>
      <c r="J319" s="79" t="str">
        <f>IFERROR(VLOOKUP(I319,'[1]ABC Master Lists'!$B$2:$I$346,4,FALSE)," ")</f>
        <v xml:space="preserve"> </v>
      </c>
      <c r="K319" s="79" t="str">
        <f>IFERROR(VLOOKUP(I319,'[1]ABC Master Lists'!$B$2:$I$346,8,FALSE)," ")</f>
        <v xml:space="preserve"> </v>
      </c>
      <c r="L319" s="118" t="str">
        <f>IFERROR(VLOOKUP(J319,'[1]ABC Master Lists'!$AQ$2:$AS$12,3,FALSE)," ")</f>
        <v xml:space="preserve"> </v>
      </c>
      <c r="M319" s="118" t="str">
        <f>IFERROR(VLOOKUP(K319,'[1]ABC Master Lists'!$AD$2:$AE$22,2,FALSE), " ")</f>
        <v xml:space="preserve"> </v>
      </c>
    </row>
    <row r="320" spans="1:13" x14ac:dyDescent="0.25">
      <c r="D320" s="27">
        <v>12</v>
      </c>
      <c r="E320" s="165" t="s">
        <v>51</v>
      </c>
      <c r="F320" s="4">
        <v>8.6</v>
      </c>
      <c r="G320" s="59" t="s">
        <v>7</v>
      </c>
      <c r="H320" s="27" t="s">
        <v>20</v>
      </c>
      <c r="I320" s="27">
        <v>71</v>
      </c>
      <c r="J320" s="27">
        <f>IFERROR(VLOOKUP(I320,'[1]ABC Master Lists'!$B$2:$I$346,4,FALSE)," ")</f>
        <v>125</v>
      </c>
      <c r="K320" s="27">
        <f>IFERROR(VLOOKUP(I320,'[1]ABC Master Lists'!$B$2:$I$346,8,FALSE)," ")</f>
        <v>8</v>
      </c>
      <c r="L320" s="120" t="str">
        <f>IFERROR(VLOOKUP(J320,'[1]ABC Master Lists'!$AQ$2:$AS$12,3,FALSE)," ")</f>
        <v xml:space="preserve"> </v>
      </c>
      <c r="M320" s="120" t="str">
        <f>IFERROR(VLOOKUP(K320,'[1]ABC Master Lists'!$AD$2:$AE$22,2,FALSE), " ")</f>
        <v>+</v>
      </c>
    </row>
    <row r="321" spans="1:13" x14ac:dyDescent="0.25">
      <c r="D321" s="27">
        <v>13</v>
      </c>
      <c r="E321" s="165" t="s">
        <v>16</v>
      </c>
      <c r="F321" s="172">
        <v>6</v>
      </c>
      <c r="G321" s="163" t="s">
        <v>7</v>
      </c>
      <c r="H321" s="27" t="s">
        <v>20</v>
      </c>
      <c r="I321" s="27">
        <v>180</v>
      </c>
      <c r="J321" s="27">
        <f>IFERROR(VLOOKUP(I321,'[1]ABC Master Lists'!$B$2:$I$346,4,FALSE)," ")</f>
        <v>1</v>
      </c>
      <c r="K321" s="27">
        <f>IFERROR(VLOOKUP(I321,'[1]ABC Master Lists'!$B$2:$I$346,8,FALSE)," ")</f>
        <v>8</v>
      </c>
      <c r="L321" s="120" t="str">
        <f>IFERROR(VLOOKUP(J321,'[1]ABC Master Lists'!$AQ$2:$AS$12,3,FALSE)," ")</f>
        <v xml:space="preserve"> </v>
      </c>
      <c r="M321" s="120" t="str">
        <f>IFERROR(VLOOKUP(K321,'[1]ABC Master Lists'!$AD$2:$AE$22,2,FALSE), " ")</f>
        <v>+</v>
      </c>
    </row>
    <row r="322" spans="1:13" x14ac:dyDescent="0.25">
      <c r="D322" s="27">
        <v>14</v>
      </c>
      <c r="E322" s="165" t="s">
        <v>36</v>
      </c>
      <c r="F322" s="4">
        <v>5</v>
      </c>
      <c r="G322" s="59" t="s">
        <v>7</v>
      </c>
      <c r="H322" s="27" t="s">
        <v>20</v>
      </c>
      <c r="I322" s="27">
        <v>202</v>
      </c>
      <c r="J322" s="27">
        <f>IFERROR(VLOOKUP(I322,'[1]ABC Master Lists'!$B$2:$I$346,4,FALSE)," ")</f>
        <v>15</v>
      </c>
      <c r="K322" s="27">
        <f>IFERROR(VLOOKUP(I322,'[1]ABC Master Lists'!$B$2:$I$346,8,FALSE)," ")</f>
        <v>8</v>
      </c>
      <c r="L322" s="120" t="str">
        <f>IFERROR(VLOOKUP(J322,'[1]ABC Master Lists'!$AQ$2:$AS$12,3,FALSE)," ")</f>
        <v xml:space="preserve"> </v>
      </c>
      <c r="M322" s="120" t="str">
        <f>IFERROR(VLOOKUP(K322,'[1]ABC Master Lists'!$AD$2:$AE$22,2,FALSE), " ")</f>
        <v>+</v>
      </c>
    </row>
    <row r="323" spans="1:13" x14ac:dyDescent="0.25">
      <c r="D323" s="27">
        <v>15</v>
      </c>
      <c r="E323" s="165" t="s">
        <v>48</v>
      </c>
      <c r="F323" s="172">
        <v>5</v>
      </c>
      <c r="G323" s="163" t="s">
        <v>7</v>
      </c>
      <c r="H323" s="27" t="s">
        <v>5</v>
      </c>
      <c r="I323" s="27">
        <v>106</v>
      </c>
      <c r="J323" s="27">
        <f>IFERROR(VLOOKUP(I323,'[1]ABC Master Lists'!$B$2:$I$346,4,FALSE)," ")</f>
        <v>1415</v>
      </c>
      <c r="K323" s="27">
        <f>IFERROR(VLOOKUP(I323,'[1]ABC Master Lists'!$B$2:$I$346,8,FALSE)," ")</f>
        <v>6</v>
      </c>
      <c r="L323" s="120" t="str">
        <f>IFERROR(VLOOKUP(J323,'[1]ABC Master Lists'!$AQ$2:$AS$12,3,FALSE)," ")</f>
        <v>+</v>
      </c>
      <c r="M323" s="120" t="str">
        <f>IFERROR(VLOOKUP(K323,'[1]ABC Master Lists'!$AD$2:$AE$22,2,FALSE), " ")</f>
        <v>+</v>
      </c>
    </row>
    <row r="324" spans="1:13" x14ac:dyDescent="0.25">
      <c r="D324" s="28">
        <v>16</v>
      </c>
      <c r="E324" s="166" t="s">
        <v>77</v>
      </c>
      <c r="F324" s="20">
        <v>3</v>
      </c>
      <c r="G324" s="167" t="s">
        <v>7</v>
      </c>
      <c r="H324" s="38" t="s">
        <v>5</v>
      </c>
      <c r="I324" s="38">
        <v>166</v>
      </c>
      <c r="J324" s="83">
        <f>IFERROR(VLOOKUP(I324,'[1]ABC Master Lists'!$B$2:$I$346,4,FALSE)," ")</f>
        <v>2229</v>
      </c>
      <c r="K324" s="83">
        <f>IFERROR(VLOOKUP(I324,'[1]ABC Master Lists'!$B$2:$I$346,8,FALSE)," ")</f>
        <v>68</v>
      </c>
      <c r="L324" s="122" t="str">
        <f>IFERROR(VLOOKUP(J324,'[1]ABC Master Lists'!$AQ$2:$AS$12,3,FALSE)," ")</f>
        <v>+</v>
      </c>
      <c r="M324" s="122" t="str">
        <f>IFERROR(VLOOKUP(K324,'[1]ABC Master Lists'!$AD$2:$AE$22,2,FALSE), " ")</f>
        <v>+</v>
      </c>
    </row>
    <row r="325" spans="1:13" x14ac:dyDescent="0.25">
      <c r="A325" s="25"/>
      <c r="B325" s="25"/>
      <c r="C325" s="25"/>
      <c r="D325" s="29"/>
      <c r="E325" s="99" t="s">
        <v>28</v>
      </c>
      <c r="F325" s="23">
        <v>4</v>
      </c>
      <c r="G325" s="116" t="s">
        <v>7</v>
      </c>
      <c r="H325" s="39" t="s">
        <v>20</v>
      </c>
      <c r="I325" s="39"/>
      <c r="J325" s="82" t="str">
        <f>IFERROR(VLOOKUP(I325,'[1]ABC Master Lists'!$B$2:$I$346,4,FALSE)," ")</f>
        <v xml:space="preserve"> </v>
      </c>
      <c r="K325" s="82" t="str">
        <f>IFERROR(VLOOKUP(I325,'[1]ABC Master Lists'!$B$2:$I$346,8,FALSE)," ")</f>
        <v xml:space="preserve"> </v>
      </c>
      <c r="L325" s="121" t="str">
        <f>IFERROR(VLOOKUP(J325,'[1]ABC Master Lists'!$AQ$2:$AS$12,3,FALSE)," ")</f>
        <v xml:space="preserve"> </v>
      </c>
      <c r="M325" s="121" t="str">
        <f>IFERROR(VLOOKUP(K325,'[1]ABC Master Lists'!$AD$2:$AE$22,2,FALSE), " ")</f>
        <v xml:space="preserve"> </v>
      </c>
    </row>
    <row r="326" spans="1:13" x14ac:dyDescent="0.25">
      <c r="A326" s="24">
        <v>2016</v>
      </c>
      <c r="B326" s="24" t="s">
        <v>162</v>
      </c>
      <c r="C326" s="24" t="s">
        <v>163</v>
      </c>
      <c r="D326" s="27">
        <v>1</v>
      </c>
      <c r="E326" s="165" t="s">
        <v>63</v>
      </c>
      <c r="F326" s="4" t="s">
        <v>2</v>
      </c>
      <c r="G326" s="32" t="s">
        <v>2</v>
      </c>
      <c r="H326" s="27" t="s">
        <v>2</v>
      </c>
      <c r="I326" s="27">
        <v>1</v>
      </c>
      <c r="J326" s="27" t="str">
        <f>IFERROR(VLOOKUP(I326,'[1]ABC Master Lists'!$B$2:$I$346,4,FALSE)," ")</f>
        <v>.</v>
      </c>
      <c r="K326" s="27" t="str">
        <f>IFERROR(VLOOKUP(I326,'[1]ABC Master Lists'!$B$2:$I$346,8,FALSE)," ")</f>
        <v>.</v>
      </c>
      <c r="L326" s="120" t="str">
        <f>IFERROR(VLOOKUP(J326,'[1]ABC Master Lists'!$AQ$2:$AS$12,3,FALSE)," ")</f>
        <v>+</v>
      </c>
      <c r="M326" s="120" t="str">
        <f>IFERROR(VLOOKUP(K326,'[1]ABC Master Lists'!$AD$2:$AE$22,2,FALSE), " ")</f>
        <v>+</v>
      </c>
    </row>
    <row r="327" spans="1:13" x14ac:dyDescent="0.25">
      <c r="D327" s="27">
        <v>2</v>
      </c>
      <c r="E327" s="165" t="s">
        <v>10</v>
      </c>
      <c r="F327" s="172">
        <v>8</v>
      </c>
      <c r="G327" s="163" t="s">
        <v>7</v>
      </c>
      <c r="H327" s="27" t="s">
        <v>67</v>
      </c>
      <c r="I327" s="27">
        <v>89</v>
      </c>
      <c r="J327" s="27">
        <f>IFERROR(VLOOKUP(I327,'[1]ABC Master Lists'!$B$2:$I$346,4,FALSE)," ")</f>
        <v>4</v>
      </c>
      <c r="K327" s="27">
        <f>IFERROR(VLOOKUP(I327,'[1]ABC Master Lists'!$B$2:$I$346,8,FALSE)," ")</f>
        <v>5</v>
      </c>
      <c r="L327" s="120" t="str">
        <f>IFERROR(VLOOKUP(J327,'[1]ABC Master Lists'!$AQ$2:$AS$12,3,FALSE)," ")</f>
        <v>+</v>
      </c>
      <c r="M327" s="120" t="str">
        <f>IFERROR(VLOOKUP(K327,'[1]ABC Master Lists'!$AD$2:$AE$22,2,FALSE), " ")</f>
        <v>+</v>
      </c>
    </row>
    <row r="328" spans="1:13" x14ac:dyDescent="0.25">
      <c r="D328" s="27">
        <v>3</v>
      </c>
      <c r="E328" s="165" t="s">
        <v>6</v>
      </c>
      <c r="F328" s="4">
        <v>9</v>
      </c>
      <c r="G328" s="59" t="s">
        <v>7</v>
      </c>
      <c r="H328" s="27" t="s">
        <v>67</v>
      </c>
      <c r="I328" s="27">
        <v>16</v>
      </c>
      <c r="J328" s="27">
        <f>IFERROR(VLOOKUP(I328,'[1]ABC Master Lists'!$B$2:$I$346,4,FALSE)," ")</f>
        <v>20</v>
      </c>
      <c r="K328" s="27">
        <f>IFERROR(VLOOKUP(I328,'[1]ABC Master Lists'!$B$2:$I$346,8,FALSE)," ")</f>
        <v>5</v>
      </c>
      <c r="L328" s="120" t="str">
        <f>IFERROR(VLOOKUP(J328,'[1]ABC Master Lists'!$AQ$2:$AS$12,3,FALSE)," ")</f>
        <v>+</v>
      </c>
      <c r="M328" s="120" t="str">
        <f>IFERROR(VLOOKUP(K328,'[1]ABC Master Lists'!$AD$2:$AE$22,2,FALSE), " ")</f>
        <v>+</v>
      </c>
    </row>
    <row r="329" spans="1:13" x14ac:dyDescent="0.25">
      <c r="D329" s="27">
        <v>4</v>
      </c>
      <c r="E329" s="165" t="s">
        <v>10</v>
      </c>
      <c r="F329" s="172">
        <v>8</v>
      </c>
      <c r="G329" s="163" t="s">
        <v>7</v>
      </c>
      <c r="H329" s="27" t="s">
        <v>5</v>
      </c>
      <c r="I329" s="27">
        <v>90</v>
      </c>
      <c r="J329" s="27">
        <f>IFERROR(VLOOKUP(I329,'[1]ABC Master Lists'!$B$2:$I$346,4,FALSE)," ")</f>
        <v>4</v>
      </c>
      <c r="K329" s="27">
        <f>IFERROR(VLOOKUP(I329,'[1]ABC Master Lists'!$B$2:$I$346,8,FALSE)," ")</f>
        <v>6</v>
      </c>
      <c r="L329" s="120" t="str">
        <f>IFERROR(VLOOKUP(J329,'[1]ABC Master Lists'!$AQ$2:$AS$12,3,FALSE)," ")</f>
        <v>+</v>
      </c>
      <c r="M329" s="120" t="str">
        <f>IFERROR(VLOOKUP(K329,'[1]ABC Master Lists'!$AD$2:$AE$22,2,FALSE), " ")</f>
        <v>+</v>
      </c>
    </row>
    <row r="330" spans="1:13" x14ac:dyDescent="0.25">
      <c r="D330" s="27">
        <v>5</v>
      </c>
      <c r="E330" s="165" t="s">
        <v>6</v>
      </c>
      <c r="F330" s="4">
        <v>9</v>
      </c>
      <c r="G330" s="59" t="s">
        <v>7</v>
      </c>
      <c r="H330" s="27" t="s">
        <v>5</v>
      </c>
      <c r="I330" s="27">
        <v>17</v>
      </c>
      <c r="J330" s="27">
        <f>IFERROR(VLOOKUP(I330,'[1]ABC Master Lists'!$B$2:$I$346,4,FALSE)," ")</f>
        <v>20</v>
      </c>
      <c r="K330" s="27">
        <f>IFERROR(VLOOKUP(I330,'[1]ABC Master Lists'!$B$2:$I$346,8,FALSE)," ")</f>
        <v>6</v>
      </c>
      <c r="L330" s="120" t="str">
        <f>IFERROR(VLOOKUP(J330,'[1]ABC Master Lists'!$AQ$2:$AS$12,3,FALSE)," ")</f>
        <v>+</v>
      </c>
      <c r="M330" s="120" t="str">
        <f>IFERROR(VLOOKUP(K330,'[1]ABC Master Lists'!$AD$2:$AE$22,2,FALSE), " ")</f>
        <v>+</v>
      </c>
    </row>
    <row r="331" spans="1:13" x14ac:dyDescent="0.25">
      <c r="D331" s="26">
        <v>6</v>
      </c>
      <c r="E331" s="52" t="s">
        <v>58</v>
      </c>
      <c r="F331" s="173">
        <v>9</v>
      </c>
      <c r="G331" s="167" t="s">
        <v>7</v>
      </c>
      <c r="H331" s="36" t="s">
        <v>5</v>
      </c>
      <c r="I331" s="36">
        <v>22</v>
      </c>
      <c r="J331" s="79">
        <f>IFERROR(VLOOKUP(I331,'[1]ABC Master Lists'!$B$2:$I$346,4,FALSE)," ")</f>
        <v>20</v>
      </c>
      <c r="K331" s="79">
        <f>IFERROR(VLOOKUP(I331,'[1]ABC Master Lists'!$B$2:$I$346,8,FALSE)," ")</f>
        <v>67</v>
      </c>
      <c r="L331" s="118" t="str">
        <f>IFERROR(VLOOKUP(J331,'[1]ABC Master Lists'!$AQ$2:$AS$12,3,FALSE)," ")</f>
        <v>+</v>
      </c>
      <c r="M331" s="118" t="str">
        <f>IFERROR(VLOOKUP(K331,'[1]ABC Master Lists'!$AD$2:$AE$22,2,FALSE), " ")</f>
        <v>+</v>
      </c>
    </row>
    <row r="332" spans="1:13" x14ac:dyDescent="0.25">
      <c r="E332" s="52" t="s">
        <v>6</v>
      </c>
      <c r="F332" s="174">
        <v>9</v>
      </c>
      <c r="G332" s="116" t="s">
        <v>7</v>
      </c>
      <c r="H332" s="36" t="s">
        <v>57</v>
      </c>
      <c r="J332" s="79" t="str">
        <f>IFERROR(VLOOKUP(I332,'[1]ABC Master Lists'!$B$2:$I$346,4,FALSE)," ")</f>
        <v xml:space="preserve"> </v>
      </c>
      <c r="K332" s="79" t="str">
        <f>IFERROR(VLOOKUP(I332,'[1]ABC Master Lists'!$B$2:$I$346,8,FALSE)," ")</f>
        <v xml:space="preserve"> </v>
      </c>
      <c r="L332" s="118" t="str">
        <f>IFERROR(VLOOKUP(J332,'[1]ABC Master Lists'!$AQ$2:$AS$12,3,FALSE)," ")</f>
        <v xml:space="preserve"> </v>
      </c>
      <c r="M332" s="118" t="str">
        <f>IFERROR(VLOOKUP(K332,'[1]ABC Master Lists'!$AD$2:$AE$22,2,FALSE), " ")</f>
        <v xml:space="preserve"> </v>
      </c>
    </row>
    <row r="333" spans="1:13" x14ac:dyDescent="0.25">
      <c r="D333" s="27">
        <v>7</v>
      </c>
      <c r="E333" s="165" t="s">
        <v>6</v>
      </c>
      <c r="F333" s="4">
        <v>9</v>
      </c>
      <c r="G333" s="59" t="s">
        <v>7</v>
      </c>
      <c r="H333" s="27" t="s">
        <v>20</v>
      </c>
      <c r="I333" s="27">
        <v>19</v>
      </c>
      <c r="J333" s="27">
        <f>IFERROR(VLOOKUP(I333,'[1]ABC Master Lists'!$B$2:$I$346,4,FALSE)," ")</f>
        <v>20</v>
      </c>
      <c r="K333" s="27">
        <f>IFERROR(VLOOKUP(I333,'[1]ABC Master Lists'!$B$2:$I$346,8,FALSE)," ")</f>
        <v>8</v>
      </c>
      <c r="L333" s="120" t="str">
        <f>IFERROR(VLOOKUP(J333,'[1]ABC Master Lists'!$AQ$2:$AS$12,3,FALSE)," ")</f>
        <v>+</v>
      </c>
      <c r="M333" s="120" t="str">
        <f>IFERROR(VLOOKUP(K333,'[1]ABC Master Lists'!$AD$2:$AE$22,2,FALSE), " ")</f>
        <v>+</v>
      </c>
    </row>
    <row r="334" spans="1:13" x14ac:dyDescent="0.25">
      <c r="D334" s="27">
        <v>8</v>
      </c>
      <c r="E334" s="165" t="s">
        <v>10</v>
      </c>
      <c r="F334" s="172">
        <v>8</v>
      </c>
      <c r="G334" s="163" t="s">
        <v>7</v>
      </c>
      <c r="H334" s="27" t="s">
        <v>65</v>
      </c>
      <c r="I334" s="27">
        <v>94</v>
      </c>
      <c r="J334" s="27">
        <f>IFERROR(VLOOKUP(I334,'[1]ABC Master Lists'!$B$2:$I$346,4,FALSE)," ")</f>
        <v>4</v>
      </c>
      <c r="K334" s="27">
        <f>IFERROR(VLOOKUP(I334,'[1]ABC Master Lists'!$B$2:$I$346,8,FALSE)," ")</f>
        <v>10</v>
      </c>
      <c r="L334" s="120" t="str">
        <f>IFERROR(VLOOKUP(J334,'[1]ABC Master Lists'!$AQ$2:$AS$12,3,FALSE)," ")</f>
        <v>+</v>
      </c>
      <c r="M334" s="120" t="str">
        <f>IFERROR(VLOOKUP(K334,'[1]ABC Master Lists'!$AD$2:$AE$22,2,FALSE), " ")</f>
        <v>+</v>
      </c>
    </row>
    <row r="335" spans="1:13" x14ac:dyDescent="0.25">
      <c r="D335" s="27">
        <v>9</v>
      </c>
      <c r="E335" s="165" t="s">
        <v>6</v>
      </c>
      <c r="F335" s="4">
        <v>9</v>
      </c>
      <c r="G335" s="59" t="s">
        <v>7</v>
      </c>
      <c r="H335" s="27" t="s">
        <v>65</v>
      </c>
      <c r="I335" s="27">
        <v>21</v>
      </c>
      <c r="J335" s="27">
        <f>IFERROR(VLOOKUP(I335,'[1]ABC Master Lists'!$B$2:$I$346,4,FALSE)," ")</f>
        <v>20</v>
      </c>
      <c r="K335" s="27">
        <f>IFERROR(VLOOKUP(I335,'[1]ABC Master Lists'!$B$2:$I$346,8,FALSE)," ")</f>
        <v>10</v>
      </c>
      <c r="L335" s="120" t="str">
        <f>IFERROR(VLOOKUP(J335,'[1]ABC Master Lists'!$AQ$2:$AS$12,3,FALSE)," ")</f>
        <v>+</v>
      </c>
      <c r="M335" s="120" t="str">
        <f>IFERROR(VLOOKUP(K335,'[1]ABC Master Lists'!$AD$2:$AE$22,2,FALSE), " ")</f>
        <v>+</v>
      </c>
    </row>
    <row r="336" spans="1:13" x14ac:dyDescent="0.25">
      <c r="D336" s="27">
        <v>10</v>
      </c>
      <c r="E336" s="165" t="s">
        <v>63</v>
      </c>
      <c r="F336" s="172" t="s">
        <v>2</v>
      </c>
      <c r="G336" s="33" t="s">
        <v>2</v>
      </c>
      <c r="H336" s="27" t="s">
        <v>2</v>
      </c>
      <c r="I336" s="27">
        <v>1</v>
      </c>
      <c r="J336" s="27" t="str">
        <f>IFERROR(VLOOKUP(I336,'[1]ABC Master Lists'!$B$2:$I$346,4,FALSE)," ")</f>
        <v>.</v>
      </c>
      <c r="K336" s="27" t="str">
        <f>IFERROR(VLOOKUP(I336,'[1]ABC Master Lists'!$B$2:$I$346,8,FALSE)," ")</f>
        <v>.</v>
      </c>
      <c r="L336" s="120" t="str">
        <f>IFERROR(VLOOKUP(J336,'[1]ABC Master Lists'!$AQ$2:$AS$12,3,FALSE)," ")</f>
        <v>+</v>
      </c>
      <c r="M336" s="120" t="str">
        <f>IFERROR(VLOOKUP(K336,'[1]ABC Master Lists'!$AD$2:$AE$22,2,FALSE), " ")</f>
        <v>+</v>
      </c>
    </row>
    <row r="337" spans="1:13" x14ac:dyDescent="0.25">
      <c r="D337" s="27">
        <v>11</v>
      </c>
      <c r="E337" s="165" t="s">
        <v>18</v>
      </c>
      <c r="F337" s="4">
        <v>6</v>
      </c>
      <c r="G337" s="59" t="s">
        <v>7</v>
      </c>
      <c r="H337" s="27" t="s">
        <v>5</v>
      </c>
      <c r="I337" s="27">
        <v>52</v>
      </c>
      <c r="J337" s="27">
        <f>IFERROR(VLOOKUP(I337,'[1]ABC Master Lists'!$B$2:$I$346,4,FALSE)," ")</f>
        <v>18</v>
      </c>
      <c r="K337" s="27">
        <f>IFERROR(VLOOKUP(I337,'[1]ABC Master Lists'!$B$2:$I$346,8,FALSE)," ")</f>
        <v>6</v>
      </c>
      <c r="L337" s="120" t="str">
        <f>IFERROR(VLOOKUP(J337,'[1]ABC Master Lists'!$AQ$2:$AS$12,3,FALSE)," ")</f>
        <v>+</v>
      </c>
      <c r="M337" s="120" t="str">
        <f>IFERROR(VLOOKUP(K337,'[1]ABC Master Lists'!$AD$2:$AE$22,2,FALSE), " ")</f>
        <v>+</v>
      </c>
    </row>
    <row r="338" spans="1:13" x14ac:dyDescent="0.25">
      <c r="D338" s="26">
        <v>12</v>
      </c>
      <c r="E338" s="52" t="s">
        <v>6</v>
      </c>
      <c r="F338" s="173">
        <v>9</v>
      </c>
      <c r="G338" s="167" t="s">
        <v>7</v>
      </c>
      <c r="H338" s="36" t="s">
        <v>5</v>
      </c>
      <c r="I338" s="36">
        <v>59</v>
      </c>
      <c r="J338" s="79">
        <f>IFERROR(VLOOKUP(I338,'[1]ABC Master Lists'!$B$2:$I$346,4,FALSE)," ")</f>
        <v>1820</v>
      </c>
      <c r="K338" s="79">
        <f>IFERROR(VLOOKUP(I338,'[1]ABC Master Lists'!$B$2:$I$346,8,FALSE)," ")</f>
        <v>6</v>
      </c>
      <c r="L338" s="118" t="str">
        <f>IFERROR(VLOOKUP(J338,'[1]ABC Master Lists'!$AQ$2:$AS$12,3,FALSE)," ")</f>
        <v xml:space="preserve"> </v>
      </c>
      <c r="M338" s="118" t="str">
        <f>IFERROR(VLOOKUP(K338,'[1]ABC Master Lists'!$AD$2:$AE$22,2,FALSE), " ")</f>
        <v>+</v>
      </c>
    </row>
    <row r="339" spans="1:13" x14ac:dyDescent="0.25">
      <c r="D339" s="29"/>
      <c r="E339" s="99" t="s">
        <v>18</v>
      </c>
      <c r="F339" s="174">
        <v>3</v>
      </c>
      <c r="G339" s="116" t="s">
        <v>7</v>
      </c>
      <c r="H339" s="39" t="s">
        <v>5</v>
      </c>
      <c r="I339" s="39"/>
      <c r="J339" s="82" t="str">
        <f>IFERROR(VLOOKUP(I339,'[1]ABC Master Lists'!$B$2:$I$346,4,FALSE)," ")</f>
        <v xml:space="preserve"> </v>
      </c>
      <c r="K339" s="82" t="str">
        <f>IFERROR(VLOOKUP(I339,'[1]ABC Master Lists'!$B$2:$I$346,8,FALSE)," ")</f>
        <v xml:space="preserve"> </v>
      </c>
      <c r="L339" s="121" t="str">
        <f>IFERROR(VLOOKUP(J339,'[1]ABC Master Lists'!$AQ$2:$AS$12,3,FALSE)," ")</f>
        <v xml:space="preserve"> </v>
      </c>
      <c r="M339" s="121" t="str">
        <f>IFERROR(VLOOKUP(K339,'[1]ABC Master Lists'!$AD$2:$AE$22,2,FALSE), " ")</f>
        <v xml:space="preserve"> </v>
      </c>
    </row>
    <row r="340" spans="1:13" x14ac:dyDescent="0.25">
      <c r="D340" s="26">
        <v>13</v>
      </c>
      <c r="E340" s="52" t="s">
        <v>18</v>
      </c>
      <c r="F340" s="176">
        <v>3</v>
      </c>
      <c r="G340" s="59" t="s">
        <v>7</v>
      </c>
      <c r="H340" s="36" t="s">
        <v>5</v>
      </c>
      <c r="I340" s="36">
        <v>61</v>
      </c>
      <c r="J340" s="79">
        <f>IFERROR(VLOOKUP(I340,'[1]ABC Master Lists'!$B$2:$I$346,4,FALSE)," ")</f>
        <v>1820</v>
      </c>
      <c r="K340" s="79">
        <f>IFERROR(VLOOKUP(I340,'[1]ABC Master Lists'!$B$2:$I$346,8,FALSE)," ")</f>
        <v>67</v>
      </c>
      <c r="L340" s="118" t="str">
        <f>IFERROR(VLOOKUP(J340,'[1]ABC Master Lists'!$AQ$2:$AS$12,3,FALSE)," ")</f>
        <v xml:space="preserve"> </v>
      </c>
      <c r="M340" s="118" t="str">
        <f>IFERROR(VLOOKUP(K340,'[1]ABC Master Lists'!$AD$2:$AE$22,2,FALSE), " ")</f>
        <v>+</v>
      </c>
    </row>
    <row r="341" spans="1:13" x14ac:dyDescent="0.25">
      <c r="E341" s="52" t="s">
        <v>6</v>
      </c>
      <c r="F341" s="174">
        <v>9</v>
      </c>
      <c r="G341" s="116" t="s">
        <v>7</v>
      </c>
      <c r="H341" s="36" t="s">
        <v>57</v>
      </c>
      <c r="J341" s="79" t="str">
        <f>IFERROR(VLOOKUP(I341,'[1]ABC Master Lists'!$B$2:$I$346,4,FALSE)," ")</f>
        <v xml:space="preserve"> </v>
      </c>
      <c r="K341" s="79" t="str">
        <f>IFERROR(VLOOKUP(I341,'[1]ABC Master Lists'!$B$2:$I$346,8,FALSE)," ")</f>
        <v xml:space="preserve"> </v>
      </c>
      <c r="L341" s="118" t="str">
        <f>IFERROR(VLOOKUP(J341,'[1]ABC Master Lists'!$AQ$2:$AS$12,3,FALSE)," ")</f>
        <v xml:space="preserve"> </v>
      </c>
      <c r="M341" s="118" t="str">
        <f>IFERROR(VLOOKUP(K341,'[1]ABC Master Lists'!$AD$2:$AE$22,2,FALSE), " ")</f>
        <v xml:space="preserve"> </v>
      </c>
    </row>
    <row r="342" spans="1:13" x14ac:dyDescent="0.25">
      <c r="D342" s="27">
        <v>19</v>
      </c>
      <c r="E342" s="165" t="s">
        <v>63</v>
      </c>
      <c r="F342" s="4" t="s">
        <v>2</v>
      </c>
      <c r="G342" s="32" t="s">
        <v>2</v>
      </c>
      <c r="H342" s="27" t="s">
        <v>2</v>
      </c>
      <c r="I342" s="27">
        <v>1</v>
      </c>
      <c r="J342" s="27" t="str">
        <f>IFERROR(VLOOKUP(I342,'[1]ABC Master Lists'!$B$2:$I$346,4,FALSE)," ")</f>
        <v>.</v>
      </c>
      <c r="K342" s="27" t="str">
        <f>IFERROR(VLOOKUP(I342,'[1]ABC Master Lists'!$B$2:$I$346,8,FALSE)," ")</f>
        <v>.</v>
      </c>
      <c r="L342" s="120" t="str">
        <f>IFERROR(VLOOKUP(J342,'[1]ABC Master Lists'!$AQ$2:$AS$12,3,FALSE)," ")</f>
        <v>+</v>
      </c>
      <c r="M342" s="120" t="str">
        <f>IFERROR(VLOOKUP(K342,'[1]ABC Master Lists'!$AD$2:$AE$22,2,FALSE), " ")</f>
        <v>+</v>
      </c>
    </row>
    <row r="343" spans="1:13" x14ac:dyDescent="0.25">
      <c r="D343" s="27">
        <v>20</v>
      </c>
      <c r="E343" s="165" t="s">
        <v>78</v>
      </c>
      <c r="F343" s="172">
        <v>0.5</v>
      </c>
      <c r="G343" s="163" t="s">
        <v>7</v>
      </c>
      <c r="H343" s="27" t="s">
        <v>5</v>
      </c>
      <c r="I343" s="27">
        <v>41</v>
      </c>
      <c r="J343" s="27">
        <f>IFERROR(VLOOKUP(I343,'[1]ABC Master Lists'!$B$2:$I$346,4,FALSE)," ")</f>
        <v>13</v>
      </c>
      <c r="K343" s="27">
        <f>IFERROR(VLOOKUP(I343,'[1]ABC Master Lists'!$B$2:$I$346,8,FALSE)," ")</f>
        <v>6</v>
      </c>
      <c r="L343" s="120" t="str">
        <f>IFERROR(VLOOKUP(J343,'[1]ABC Master Lists'!$AQ$2:$AS$12,3,FALSE)," ")</f>
        <v xml:space="preserve"> </v>
      </c>
      <c r="M343" s="120" t="str">
        <f>IFERROR(VLOOKUP(K343,'[1]ABC Master Lists'!$AD$2:$AE$22,2,FALSE), " ")</f>
        <v>+</v>
      </c>
    </row>
    <row r="344" spans="1:13" x14ac:dyDescent="0.25">
      <c r="A344" s="31">
        <v>2013</v>
      </c>
      <c r="B344" s="31" t="s">
        <v>166</v>
      </c>
      <c r="C344" s="31" t="s">
        <v>167</v>
      </c>
      <c r="D344" s="26">
        <v>1</v>
      </c>
      <c r="E344" s="52" t="s">
        <v>79</v>
      </c>
      <c r="F344" s="4" t="s">
        <v>2</v>
      </c>
      <c r="G344" s="32" t="s">
        <v>2</v>
      </c>
      <c r="H344" s="36" t="s">
        <v>2</v>
      </c>
      <c r="I344" s="36">
        <v>1</v>
      </c>
      <c r="J344" s="79" t="str">
        <f>IFERROR(VLOOKUP(I344,'[1]ABC Master Lists'!$B$2:$I$346,4,FALSE)," ")</f>
        <v>.</v>
      </c>
      <c r="K344" s="79" t="str">
        <f>IFERROR(VLOOKUP(I344,'[1]ABC Master Lists'!$B$2:$I$346,8,FALSE)," ")</f>
        <v>.</v>
      </c>
      <c r="L344" s="118" t="str">
        <f>IFERROR(VLOOKUP(J344,'[1]ABC Master Lists'!$AQ$2:$AS$12,3,FALSE)," ")</f>
        <v>+</v>
      </c>
      <c r="M344" s="118" t="str">
        <f>IFERROR(VLOOKUP(K344,'[1]ABC Master Lists'!$AD$2:$AE$22,2,FALSE), " ")</f>
        <v>+</v>
      </c>
    </row>
    <row r="345" spans="1:13" x14ac:dyDescent="0.25">
      <c r="D345" s="27">
        <v>2</v>
      </c>
      <c r="E345" s="165" t="s">
        <v>48</v>
      </c>
      <c r="F345" s="17">
        <v>5</v>
      </c>
      <c r="G345" s="33" t="s">
        <v>80</v>
      </c>
      <c r="H345" s="37" t="s">
        <v>57</v>
      </c>
      <c r="I345" s="37">
        <v>107</v>
      </c>
      <c r="J345" s="81">
        <f>IFERROR(VLOOKUP(I345,'[1]ABC Master Lists'!$B$2:$I$346,4,FALSE)," ")</f>
        <v>1415</v>
      </c>
      <c r="K345" s="81">
        <f>IFERROR(VLOOKUP(I345,'[1]ABC Master Lists'!$B$2:$I$346,8,FALSE)," ")</f>
        <v>7</v>
      </c>
      <c r="L345" s="120" t="str">
        <f>IFERROR(VLOOKUP(J345,'[1]ABC Master Lists'!$AQ$2:$AS$12,3,FALSE)," ")</f>
        <v>+</v>
      </c>
      <c r="M345" s="120" t="str">
        <f>IFERROR(VLOOKUP(K345,'[1]ABC Master Lists'!$AD$2:$AE$22,2,FALSE), " ")</f>
        <v>+</v>
      </c>
    </row>
    <row r="346" spans="1:13" x14ac:dyDescent="0.25">
      <c r="D346" s="26">
        <v>3</v>
      </c>
      <c r="E346" s="52" t="s">
        <v>48</v>
      </c>
      <c r="F346" s="4">
        <v>5</v>
      </c>
      <c r="G346" s="32" t="s">
        <v>80</v>
      </c>
      <c r="H346" s="36" t="s">
        <v>20</v>
      </c>
      <c r="I346" s="36">
        <v>108</v>
      </c>
      <c r="J346" s="79">
        <f>IFERROR(VLOOKUP(I346,'[1]ABC Master Lists'!$B$2:$I$346,4,FALSE)," ")</f>
        <v>1415</v>
      </c>
      <c r="K346" s="79">
        <f>IFERROR(VLOOKUP(I346,'[1]ABC Master Lists'!$B$2:$I$346,8,FALSE)," ")</f>
        <v>8</v>
      </c>
      <c r="L346" s="118" t="str">
        <f>IFERROR(VLOOKUP(J346,'[1]ABC Master Lists'!$AQ$2:$AS$12,3,FALSE)," ")</f>
        <v>+</v>
      </c>
      <c r="M346" s="118" t="str">
        <f>IFERROR(VLOOKUP(K346,'[1]ABC Master Lists'!$AD$2:$AE$22,2,FALSE), " ")</f>
        <v>+</v>
      </c>
    </row>
    <row r="347" spans="1:13" x14ac:dyDescent="0.25">
      <c r="D347" s="27">
        <v>4</v>
      </c>
      <c r="E347" s="165" t="s">
        <v>49</v>
      </c>
      <c r="F347" s="17">
        <v>10</v>
      </c>
      <c r="G347" s="33" t="s">
        <v>80</v>
      </c>
      <c r="H347" s="37" t="s">
        <v>20</v>
      </c>
      <c r="I347" s="37">
        <v>183</v>
      </c>
      <c r="J347" s="81">
        <f>IFERROR(VLOOKUP(I347,'[1]ABC Master Lists'!$B$2:$I$346,4,FALSE)," ")</f>
        <v>19</v>
      </c>
      <c r="K347" s="81">
        <f>IFERROR(VLOOKUP(I347,'[1]ABC Master Lists'!$B$2:$I$346,8,FALSE)," ")</f>
        <v>8</v>
      </c>
      <c r="L347" s="120" t="str">
        <f>IFERROR(VLOOKUP(J347,'[1]ABC Master Lists'!$AQ$2:$AS$12,3,FALSE)," ")</f>
        <v xml:space="preserve"> </v>
      </c>
      <c r="M347" s="120" t="str">
        <f>IFERROR(VLOOKUP(K347,'[1]ABC Master Lists'!$AD$2:$AE$22,2,FALSE), " ")</f>
        <v>+</v>
      </c>
    </row>
    <row r="348" spans="1:13" x14ac:dyDescent="0.25">
      <c r="D348" s="26">
        <v>5</v>
      </c>
      <c r="E348" s="52" t="s">
        <v>36</v>
      </c>
      <c r="F348" s="4">
        <v>7</v>
      </c>
      <c r="G348" s="32" t="s">
        <v>80</v>
      </c>
      <c r="H348" s="36" t="s">
        <v>57</v>
      </c>
      <c r="I348" s="36">
        <v>204</v>
      </c>
      <c r="J348" s="79">
        <f>IFERROR(VLOOKUP(I348,'[1]ABC Master Lists'!$B$2:$I$346,4,FALSE)," ")</f>
        <v>15</v>
      </c>
      <c r="K348" s="79">
        <f>IFERROR(VLOOKUP(I348,'[1]ABC Master Lists'!$B$2:$I$346,8,FALSE)," ")</f>
        <v>7</v>
      </c>
      <c r="L348" s="118" t="str">
        <f>IFERROR(VLOOKUP(J348,'[1]ABC Master Lists'!$AQ$2:$AS$12,3,FALSE)," ")</f>
        <v xml:space="preserve"> </v>
      </c>
      <c r="M348" s="118" t="str">
        <f>IFERROR(VLOOKUP(K348,'[1]ABC Master Lists'!$AD$2:$AE$22,2,FALSE), " ")</f>
        <v>+</v>
      </c>
    </row>
    <row r="349" spans="1:13" x14ac:dyDescent="0.25">
      <c r="D349" s="27">
        <v>6</v>
      </c>
      <c r="E349" s="165" t="s">
        <v>36</v>
      </c>
      <c r="F349" s="17">
        <v>7</v>
      </c>
      <c r="G349" s="33" t="s">
        <v>80</v>
      </c>
      <c r="H349" s="37" t="s">
        <v>20</v>
      </c>
      <c r="I349" s="37">
        <v>205</v>
      </c>
      <c r="J349" s="81">
        <f>IFERROR(VLOOKUP(I349,'[1]ABC Master Lists'!$B$2:$I$346,4,FALSE)," ")</f>
        <v>15</v>
      </c>
      <c r="K349" s="81">
        <f>IFERROR(VLOOKUP(I349,'[1]ABC Master Lists'!$B$2:$I$346,8,FALSE)," ")</f>
        <v>8</v>
      </c>
      <c r="L349" s="120" t="str">
        <f>IFERROR(VLOOKUP(J349,'[1]ABC Master Lists'!$AQ$2:$AS$12,3,FALSE)," ")</f>
        <v xml:space="preserve"> </v>
      </c>
      <c r="M349" s="120" t="str">
        <f>IFERROR(VLOOKUP(K349,'[1]ABC Master Lists'!$AD$2:$AE$22,2,FALSE), " ")</f>
        <v>+</v>
      </c>
    </row>
    <row r="350" spans="1:13" x14ac:dyDescent="0.25">
      <c r="D350" s="26">
        <v>7</v>
      </c>
      <c r="E350" s="52" t="s">
        <v>36</v>
      </c>
      <c r="F350" s="4">
        <v>7</v>
      </c>
      <c r="G350" s="32" t="s">
        <v>80</v>
      </c>
      <c r="H350" s="36" t="s">
        <v>57</v>
      </c>
      <c r="I350" s="36">
        <v>206</v>
      </c>
      <c r="J350" s="79">
        <f>IFERROR(VLOOKUP(I350,'[1]ABC Master Lists'!$B$2:$I$346,4,FALSE)," ")</f>
        <v>15</v>
      </c>
      <c r="K350" s="79">
        <f>IFERROR(VLOOKUP(I350,'[1]ABC Master Lists'!$B$2:$I$346,8,FALSE)," ")</f>
        <v>78</v>
      </c>
      <c r="L350" s="118" t="str">
        <f>IFERROR(VLOOKUP(J350,'[1]ABC Master Lists'!$AQ$2:$AS$12,3,FALSE)," ")</f>
        <v xml:space="preserve"> </v>
      </c>
    </row>
    <row r="351" spans="1:13" x14ac:dyDescent="0.25">
      <c r="E351" s="52" t="s">
        <v>36</v>
      </c>
      <c r="F351" s="4">
        <v>7</v>
      </c>
      <c r="G351" s="32" t="s">
        <v>80</v>
      </c>
      <c r="H351" s="36" t="s">
        <v>20</v>
      </c>
      <c r="J351" s="79" t="str">
        <f>IFERROR(VLOOKUP(I351,'[1]ABC Master Lists'!$B$2:$I$346,4,FALSE)," ")</f>
        <v xml:space="preserve"> </v>
      </c>
      <c r="K351" s="79" t="str">
        <f>IFERROR(VLOOKUP(I351,'[1]ABC Master Lists'!$B$2:$I$346,8,FALSE)," ")</f>
        <v xml:space="preserve"> </v>
      </c>
      <c r="L351" s="118" t="str">
        <f>IFERROR(VLOOKUP(J351,'[1]ABC Master Lists'!$AQ$2:$AS$12,3,FALSE)," ")</f>
        <v xml:space="preserve"> </v>
      </c>
      <c r="M351" s="118" t="str">
        <f>IFERROR(VLOOKUP(K351,'[1]ABC Master Lists'!$AD$2:$AE$22,2,FALSE), " ")</f>
        <v xml:space="preserve"> </v>
      </c>
    </row>
    <row r="352" spans="1:13" x14ac:dyDescent="0.25">
      <c r="D352" s="28">
        <v>8</v>
      </c>
      <c r="E352" s="166" t="s">
        <v>15</v>
      </c>
      <c r="F352" s="20">
        <v>5</v>
      </c>
      <c r="G352" s="34" t="s">
        <v>80</v>
      </c>
      <c r="H352" s="38" t="s">
        <v>20</v>
      </c>
      <c r="I352" s="38">
        <v>80</v>
      </c>
      <c r="J352" s="83">
        <f>IFERROR(VLOOKUP(I352,'[1]ABC Master Lists'!$B$2:$I$346,4,FALSE)," ")</f>
        <v>26</v>
      </c>
      <c r="K352" s="83">
        <f>IFERROR(VLOOKUP(I352,'[1]ABC Master Lists'!$B$2:$I$346,8,FALSE)," ")</f>
        <v>810</v>
      </c>
      <c r="L352" s="122" t="str">
        <f>IFERROR(VLOOKUP(J352,'[1]ABC Master Lists'!$AQ$2:$AS$12,3,FALSE)," ")</f>
        <v>+</v>
      </c>
      <c r="M352" s="122"/>
    </row>
    <row r="353" spans="4:13" x14ac:dyDescent="0.25">
      <c r="D353" s="29"/>
      <c r="E353" s="99" t="s">
        <v>15</v>
      </c>
      <c r="F353" s="23">
        <v>5</v>
      </c>
      <c r="G353" s="35" t="s">
        <v>80</v>
      </c>
      <c r="H353" s="39" t="s">
        <v>65</v>
      </c>
      <c r="I353" s="39"/>
      <c r="J353" s="82" t="str">
        <f>IFERROR(VLOOKUP(I353,'[1]ABC Master Lists'!$B$2:$I$346,4,FALSE)," ")</f>
        <v xml:space="preserve"> </v>
      </c>
      <c r="K353" s="82" t="str">
        <f>IFERROR(VLOOKUP(I353,'[1]ABC Master Lists'!$B$2:$I$346,8,FALSE)," ")</f>
        <v xml:space="preserve"> </v>
      </c>
      <c r="L353" s="121" t="str">
        <f>IFERROR(VLOOKUP(J353,'[1]ABC Master Lists'!$AQ$2:$AS$12,3,FALSE)," ")</f>
        <v xml:space="preserve"> </v>
      </c>
      <c r="M353" s="121" t="str">
        <f>IFERROR(VLOOKUP(K353,'[1]ABC Master Lists'!$AD$2:$AE$22,2,FALSE), " ")</f>
        <v xml:space="preserve"> </v>
      </c>
    </row>
    <row r="354" spans="4:13" x14ac:dyDescent="0.25">
      <c r="D354" s="26">
        <v>9</v>
      </c>
      <c r="E354" s="52" t="s">
        <v>13</v>
      </c>
      <c r="F354" s="4">
        <v>5</v>
      </c>
      <c r="G354" s="32" t="s">
        <v>80</v>
      </c>
      <c r="H354" s="36" t="s">
        <v>57</v>
      </c>
      <c r="I354" s="36">
        <v>159</v>
      </c>
      <c r="J354" s="79">
        <f>IFERROR(VLOOKUP(I354,'[1]ABC Master Lists'!$B$2:$I$346,4,FALSE)," ")</f>
        <v>22</v>
      </c>
      <c r="K354" s="79">
        <f>IFERROR(VLOOKUP(I354,'[1]ABC Master Lists'!$B$2:$I$346,8,FALSE)," ")</f>
        <v>7</v>
      </c>
      <c r="L354" s="118" t="str">
        <f>IFERROR(VLOOKUP(J354,'[1]ABC Master Lists'!$AQ$2:$AS$12,3,FALSE)," ")</f>
        <v>+</v>
      </c>
      <c r="M354" s="118" t="str">
        <f>IFERROR(VLOOKUP(K354,'[1]ABC Master Lists'!$AD$2:$AE$22,2,FALSE), " ")</f>
        <v>+</v>
      </c>
    </row>
    <row r="355" spans="4:13" x14ac:dyDescent="0.25">
      <c r="D355" s="28">
        <v>10</v>
      </c>
      <c r="E355" s="166" t="s">
        <v>13</v>
      </c>
      <c r="F355" s="20">
        <v>3</v>
      </c>
      <c r="G355" s="34" t="s">
        <v>80</v>
      </c>
      <c r="H355" s="38" t="s">
        <v>57</v>
      </c>
      <c r="I355" s="38">
        <v>172</v>
      </c>
      <c r="J355" s="83">
        <f>IFERROR(VLOOKUP(I355,'[1]ABC Master Lists'!$B$2:$I$346,4,FALSE)," ")</f>
        <v>2229</v>
      </c>
      <c r="K355" s="83">
        <f>IFERROR(VLOOKUP(I355,'[1]ABC Master Lists'!$B$2:$I$346,8,FALSE)," ")</f>
        <v>78</v>
      </c>
      <c r="L355" s="122" t="str">
        <f>IFERROR(VLOOKUP(J355,'[1]ABC Master Lists'!$AQ$2:$AS$12,3,FALSE)," ")</f>
        <v>+</v>
      </c>
      <c r="M355" s="122"/>
    </row>
    <row r="356" spans="4:13" x14ac:dyDescent="0.25">
      <c r="E356" s="52" t="s">
        <v>38</v>
      </c>
      <c r="F356" s="4">
        <v>4</v>
      </c>
      <c r="G356" s="32" t="s">
        <v>80</v>
      </c>
      <c r="H356" s="36" t="s">
        <v>20</v>
      </c>
      <c r="J356" s="79" t="str">
        <f>IFERROR(VLOOKUP(I356,'[1]ABC Master Lists'!$B$2:$I$346,4,FALSE)," ")</f>
        <v xml:space="preserve"> </v>
      </c>
      <c r="K356" s="79" t="str">
        <f>IFERROR(VLOOKUP(I356,'[1]ABC Master Lists'!$B$2:$I$346,8,FALSE)," ")</f>
        <v xml:space="preserve"> </v>
      </c>
      <c r="L356" s="118" t="str">
        <f>IFERROR(VLOOKUP(J356,'[1]ABC Master Lists'!$AQ$2:$AS$12,3,FALSE)," ")</f>
        <v xml:space="preserve"> </v>
      </c>
      <c r="M356" s="118" t="str">
        <f>IFERROR(VLOOKUP(K356,'[1]ABC Master Lists'!$AD$2:$AE$22,2,FALSE), " ")</f>
        <v xml:space="preserve"> </v>
      </c>
    </row>
    <row r="357" spans="4:13" x14ac:dyDescent="0.25">
      <c r="D357" s="29"/>
      <c r="E357" s="99" t="s">
        <v>33</v>
      </c>
      <c r="F357" s="23">
        <v>0.125</v>
      </c>
      <c r="G357" s="35" t="s">
        <v>81</v>
      </c>
      <c r="H357" s="39" t="s">
        <v>20</v>
      </c>
      <c r="I357" s="39"/>
      <c r="J357" s="82" t="str">
        <f>IFERROR(VLOOKUP(I357,'[1]ABC Master Lists'!$B$2:$I$346,4,FALSE)," ")</f>
        <v xml:space="preserve"> </v>
      </c>
      <c r="K357" s="82" t="str">
        <f>IFERROR(VLOOKUP(I357,'[1]ABC Master Lists'!$B$2:$I$346,8,FALSE)," ")</f>
        <v xml:space="preserve"> </v>
      </c>
      <c r="L357" s="121" t="str">
        <f>IFERROR(VLOOKUP(J357,'[1]ABC Master Lists'!$AQ$2:$AS$12,3,FALSE)," ")</f>
        <v xml:space="preserve"> </v>
      </c>
      <c r="M357" s="121" t="str">
        <f>IFERROR(VLOOKUP(K357,'[1]ABC Master Lists'!$AD$2:$AE$22,2,FALSE), " ")</f>
        <v xml:space="preserve"> </v>
      </c>
    </row>
    <row r="358" spans="4:13" x14ac:dyDescent="0.25">
      <c r="D358" s="26">
        <v>11</v>
      </c>
      <c r="E358" s="52" t="s">
        <v>13</v>
      </c>
      <c r="F358" s="4">
        <v>5</v>
      </c>
      <c r="G358" s="32" t="s">
        <v>80</v>
      </c>
      <c r="H358" s="36" t="s">
        <v>57</v>
      </c>
      <c r="I358" s="36">
        <v>173</v>
      </c>
      <c r="J358" s="79">
        <f>IFERROR(VLOOKUP(I358,'[1]ABC Master Lists'!$B$2:$I$346,4,FALSE)," ")</f>
        <v>2229</v>
      </c>
      <c r="K358" s="79">
        <f>IFERROR(VLOOKUP(I358,'[1]ABC Master Lists'!$B$2:$I$346,8,FALSE)," ")</f>
        <v>78</v>
      </c>
      <c r="L358" s="118" t="str">
        <f>IFERROR(VLOOKUP(J358,'[1]ABC Master Lists'!$AQ$2:$AS$12,3,FALSE)," ")</f>
        <v>+</v>
      </c>
    </row>
    <row r="359" spans="4:13" x14ac:dyDescent="0.25">
      <c r="E359" s="52" t="s">
        <v>38</v>
      </c>
      <c r="F359" s="4">
        <v>4.6500000000000004</v>
      </c>
      <c r="G359" s="32" t="s">
        <v>80</v>
      </c>
      <c r="H359" s="36" t="s">
        <v>20</v>
      </c>
      <c r="J359" s="79" t="str">
        <f>IFERROR(VLOOKUP(I359,'[1]ABC Master Lists'!$B$2:$I$346,4,FALSE)," ")</f>
        <v xml:space="preserve"> </v>
      </c>
      <c r="K359" s="79" t="str">
        <f>IFERROR(VLOOKUP(I359,'[1]ABC Master Lists'!$B$2:$I$346,8,FALSE)," ")</f>
        <v xml:space="preserve"> </v>
      </c>
      <c r="L359" s="118" t="str">
        <f>IFERROR(VLOOKUP(J359,'[1]ABC Master Lists'!$AQ$2:$AS$12,3,FALSE)," ")</f>
        <v xml:space="preserve"> </v>
      </c>
      <c r="M359" s="118" t="str">
        <f>IFERROR(VLOOKUP(K359,'[1]ABC Master Lists'!$AD$2:$AE$22,2,FALSE), " ")</f>
        <v xml:space="preserve"> </v>
      </c>
    </row>
    <row r="360" spans="4:13" x14ac:dyDescent="0.25">
      <c r="E360" s="52" t="s">
        <v>33</v>
      </c>
      <c r="F360" s="4">
        <v>0.125</v>
      </c>
      <c r="G360" s="32" t="s">
        <v>81</v>
      </c>
      <c r="H360" s="36" t="s">
        <v>20</v>
      </c>
      <c r="J360" s="79" t="str">
        <f>IFERROR(VLOOKUP(I360,'[1]ABC Master Lists'!$B$2:$I$346,4,FALSE)," ")</f>
        <v xml:space="preserve"> </v>
      </c>
      <c r="K360" s="79" t="str">
        <f>IFERROR(VLOOKUP(I360,'[1]ABC Master Lists'!$B$2:$I$346,8,FALSE)," ")</f>
        <v xml:space="preserve"> </v>
      </c>
      <c r="L360" s="118" t="str">
        <f>IFERROR(VLOOKUP(J360,'[1]ABC Master Lists'!$AQ$2:$AS$12,3,FALSE)," ")</f>
        <v xml:space="preserve"> </v>
      </c>
      <c r="M360" s="118" t="str">
        <f>IFERROR(VLOOKUP(K360,'[1]ABC Master Lists'!$AD$2:$AE$22,2,FALSE), " ")</f>
        <v xml:space="preserve"> </v>
      </c>
    </row>
    <row r="361" spans="4:13" x14ac:dyDescent="0.25">
      <c r="D361" s="28">
        <v>13</v>
      </c>
      <c r="E361" s="166" t="s">
        <v>13</v>
      </c>
      <c r="F361" s="20">
        <v>3</v>
      </c>
      <c r="G361" s="34" t="s">
        <v>80</v>
      </c>
      <c r="H361" s="38" t="s">
        <v>57</v>
      </c>
      <c r="I361" s="38">
        <v>172</v>
      </c>
      <c r="J361" s="83">
        <f>IFERROR(VLOOKUP(I361,'[1]ABC Master Lists'!$B$2:$I$346,4,FALSE)," ")</f>
        <v>2229</v>
      </c>
      <c r="K361" s="83">
        <f>IFERROR(VLOOKUP(I361,'[1]ABC Master Lists'!$B$2:$I$346,8,FALSE)," ")</f>
        <v>78</v>
      </c>
      <c r="L361" s="122" t="str">
        <f>IFERROR(VLOOKUP(J361,'[1]ABC Master Lists'!$AQ$2:$AS$12,3,FALSE)," ")</f>
        <v>+</v>
      </c>
      <c r="M361" s="122"/>
    </row>
    <row r="362" spans="4:13" x14ac:dyDescent="0.25">
      <c r="E362" s="52" t="s">
        <v>38</v>
      </c>
      <c r="F362" s="4">
        <v>4</v>
      </c>
      <c r="G362" s="32" t="s">
        <v>80</v>
      </c>
      <c r="H362" s="36" t="s">
        <v>20</v>
      </c>
      <c r="J362" s="79" t="str">
        <f>IFERROR(VLOOKUP(I362,'[1]ABC Master Lists'!$B$2:$I$346,4,FALSE)," ")</f>
        <v xml:space="preserve"> </v>
      </c>
      <c r="K362" s="79" t="str">
        <f>IFERROR(VLOOKUP(I362,'[1]ABC Master Lists'!$B$2:$I$346,8,FALSE)," ")</f>
        <v xml:space="preserve"> </v>
      </c>
      <c r="L362" s="118" t="str">
        <f>IFERROR(VLOOKUP(J362,'[1]ABC Master Lists'!$AQ$2:$AS$12,3,FALSE)," ")</f>
        <v xml:space="preserve"> </v>
      </c>
      <c r="M362" s="118" t="str">
        <f>IFERROR(VLOOKUP(K362,'[1]ABC Master Lists'!$AD$2:$AE$22,2,FALSE), " ")</f>
        <v xml:space="preserve"> </v>
      </c>
    </row>
    <row r="363" spans="4:13" x14ac:dyDescent="0.25">
      <c r="D363" s="29"/>
      <c r="E363" s="99" t="s">
        <v>33</v>
      </c>
      <c r="F363" s="23">
        <v>0.125</v>
      </c>
      <c r="G363" s="35" t="s">
        <v>81</v>
      </c>
      <c r="H363" s="39" t="s">
        <v>20</v>
      </c>
      <c r="I363" s="39"/>
      <c r="J363" s="82" t="str">
        <f>IFERROR(VLOOKUP(I363,'[1]ABC Master Lists'!$B$2:$I$346,4,FALSE)," ")</f>
        <v xml:space="preserve"> </v>
      </c>
      <c r="K363" s="82" t="str">
        <f>IFERROR(VLOOKUP(I363,'[1]ABC Master Lists'!$B$2:$I$346,8,FALSE)," ")</f>
        <v xml:space="preserve"> </v>
      </c>
      <c r="L363" s="121" t="str">
        <f>IFERROR(VLOOKUP(J363,'[1]ABC Master Lists'!$AQ$2:$AS$12,3,FALSE)," ")</f>
        <v xml:space="preserve"> </v>
      </c>
      <c r="M363" s="121" t="str">
        <f>IFERROR(VLOOKUP(K363,'[1]ABC Master Lists'!$AD$2:$AE$22,2,FALSE), " ")</f>
        <v xml:space="preserve"> </v>
      </c>
    </row>
    <row r="364" spans="4:13" x14ac:dyDescent="0.25">
      <c r="D364" s="26">
        <v>12</v>
      </c>
      <c r="E364" s="52" t="s">
        <v>44</v>
      </c>
      <c r="F364" s="4">
        <v>4</v>
      </c>
      <c r="G364" s="32" t="s">
        <v>80</v>
      </c>
      <c r="H364" s="36" t="s">
        <v>57</v>
      </c>
      <c r="I364" s="36">
        <v>152</v>
      </c>
      <c r="J364" s="79">
        <f>IFERROR(VLOOKUP(I364,'[1]ABC Master Lists'!$B$2:$I$346,4,FALSE)," ")</f>
        <v>1624</v>
      </c>
      <c r="K364" s="79">
        <f>IFERROR(VLOOKUP(I364,'[1]ABC Master Lists'!$B$2:$I$346,8,FALSE)," ")</f>
        <v>7</v>
      </c>
      <c r="L364" s="118" t="str">
        <f>IFERROR(VLOOKUP(J364,'[1]ABC Master Lists'!$AQ$2:$AS$12,3,FALSE)," ")</f>
        <v xml:space="preserve"> </v>
      </c>
      <c r="M364" s="118" t="str">
        <f>IFERROR(VLOOKUP(K364,'[1]ABC Master Lists'!$AD$2:$AE$22,2,FALSE), " ")</f>
        <v>+</v>
      </c>
    </row>
    <row r="365" spans="4:13" x14ac:dyDescent="0.25">
      <c r="E365" s="52" t="s">
        <v>33</v>
      </c>
      <c r="F365" s="4">
        <v>0.25</v>
      </c>
      <c r="G365" s="32" t="s">
        <v>81</v>
      </c>
      <c r="H365" s="36" t="s">
        <v>57</v>
      </c>
      <c r="J365" s="79" t="str">
        <f>IFERROR(VLOOKUP(I365,'[1]ABC Master Lists'!$B$2:$I$346,4,FALSE)," ")</f>
        <v xml:space="preserve"> </v>
      </c>
      <c r="K365" s="79" t="str">
        <f>IFERROR(VLOOKUP(I365,'[1]ABC Master Lists'!$B$2:$I$346,8,FALSE)," ")</f>
        <v xml:space="preserve"> </v>
      </c>
      <c r="L365" s="118" t="str">
        <f>IFERROR(VLOOKUP(J365,'[1]ABC Master Lists'!$AQ$2:$AS$12,3,FALSE)," ")</f>
        <v xml:space="preserve"> </v>
      </c>
      <c r="M365" s="118" t="str">
        <f>IFERROR(VLOOKUP(K365,'[1]ABC Master Lists'!$AD$2:$AE$22,2,FALSE), " ")</f>
        <v xml:space="preserve"> </v>
      </c>
    </row>
    <row r="366" spans="4:13" x14ac:dyDescent="0.25">
      <c r="D366" s="27">
        <v>14</v>
      </c>
      <c r="E366" s="165" t="s">
        <v>82</v>
      </c>
      <c r="F366" s="17">
        <v>10.3</v>
      </c>
      <c r="G366" s="33" t="s">
        <v>80</v>
      </c>
      <c r="H366" s="37" t="s">
        <v>57</v>
      </c>
      <c r="I366" s="37">
        <v>175</v>
      </c>
      <c r="J366" s="81">
        <f>IFERROR(VLOOKUP(I366,'[1]ABC Master Lists'!$B$2:$I$346,4,FALSE)," ")</f>
        <v>1422</v>
      </c>
      <c r="K366" s="81">
        <f>IFERROR(VLOOKUP(I366,'[1]ABC Master Lists'!$B$2:$I$346,8,FALSE)," ")</f>
        <v>7</v>
      </c>
      <c r="L366" s="120" t="str">
        <f>IFERROR(VLOOKUP(J366,'[1]ABC Master Lists'!$AQ$2:$AS$12,3,FALSE)," ")</f>
        <v xml:space="preserve"> </v>
      </c>
      <c r="M366" s="120" t="str">
        <f>IFERROR(VLOOKUP(K366,'[1]ABC Master Lists'!$AD$2:$AE$22,2,FALSE), " ")</f>
        <v>+</v>
      </c>
    </row>
    <row r="367" spans="4:13" x14ac:dyDescent="0.25">
      <c r="D367" s="26">
        <v>15</v>
      </c>
      <c r="E367" s="52" t="s">
        <v>6</v>
      </c>
      <c r="F367" s="4">
        <v>9</v>
      </c>
      <c r="G367" s="32" t="s">
        <v>80</v>
      </c>
      <c r="H367" s="36" t="s">
        <v>57</v>
      </c>
      <c r="I367" s="36">
        <v>18</v>
      </c>
      <c r="J367" s="79">
        <f>IFERROR(VLOOKUP(I367,'[1]ABC Master Lists'!$B$2:$I$346,4,FALSE)," ")</f>
        <v>20</v>
      </c>
      <c r="K367" s="79">
        <f>IFERROR(VLOOKUP(I367,'[1]ABC Master Lists'!$B$2:$I$346,8,FALSE)," ")</f>
        <v>7</v>
      </c>
      <c r="L367" s="118" t="str">
        <f>IFERROR(VLOOKUP(J367,'[1]ABC Master Lists'!$AQ$2:$AS$12,3,FALSE)," ")</f>
        <v>+</v>
      </c>
      <c r="M367" s="118" t="str">
        <f>IFERROR(VLOOKUP(K367,'[1]ABC Master Lists'!$AD$2:$AE$22,2,FALSE), " ")</f>
        <v>+</v>
      </c>
    </row>
    <row r="368" spans="4:13" x14ac:dyDescent="0.25">
      <c r="E368" s="52" t="s">
        <v>33</v>
      </c>
      <c r="F368" s="4">
        <v>0.25</v>
      </c>
      <c r="G368" s="32" t="s">
        <v>81</v>
      </c>
      <c r="H368" s="36" t="s">
        <v>57</v>
      </c>
      <c r="J368" s="79" t="str">
        <f>IFERROR(VLOOKUP(I368,'[1]ABC Master Lists'!$B$2:$I$346,4,FALSE)," ")</f>
        <v xml:space="preserve"> </v>
      </c>
      <c r="K368" s="79" t="str">
        <f>IFERROR(VLOOKUP(I368,'[1]ABC Master Lists'!$B$2:$I$346,8,FALSE)," ")</f>
        <v xml:space="preserve"> </v>
      </c>
      <c r="L368" s="118" t="str">
        <f>IFERROR(VLOOKUP(J368,'[1]ABC Master Lists'!$AQ$2:$AS$12,3,FALSE)," ")</f>
        <v xml:space="preserve"> </v>
      </c>
      <c r="M368" s="118" t="str">
        <f>IFERROR(VLOOKUP(K368,'[1]ABC Master Lists'!$AD$2:$AE$22,2,FALSE), " ")</f>
        <v xml:space="preserve"> </v>
      </c>
    </row>
    <row r="369" spans="4:13" x14ac:dyDescent="0.25">
      <c r="D369" s="28">
        <v>16</v>
      </c>
      <c r="E369" s="166" t="s">
        <v>6</v>
      </c>
      <c r="F369" s="20">
        <v>9</v>
      </c>
      <c r="G369" s="34" t="s">
        <v>80</v>
      </c>
      <c r="H369" s="38" t="s">
        <v>57</v>
      </c>
      <c r="I369" s="38">
        <v>24</v>
      </c>
      <c r="J369" s="83">
        <f>IFERROR(VLOOKUP(I369,'[1]ABC Master Lists'!$B$2:$I$346,4,FALSE)," ")</f>
        <v>20</v>
      </c>
      <c r="K369" s="83">
        <f>IFERROR(VLOOKUP(I369,'[1]ABC Master Lists'!$B$2:$I$346,8,FALSE)," ")</f>
        <v>78</v>
      </c>
      <c r="L369" s="122" t="str">
        <f>IFERROR(VLOOKUP(J369,'[1]ABC Master Lists'!$AQ$2:$AS$12,3,FALSE)," ")</f>
        <v>+</v>
      </c>
      <c r="M369" s="122"/>
    </row>
    <row r="370" spans="4:13" x14ac:dyDescent="0.25">
      <c r="E370" s="52" t="s">
        <v>33</v>
      </c>
      <c r="F370" s="4">
        <v>0.25</v>
      </c>
      <c r="G370" s="32" t="s">
        <v>81</v>
      </c>
      <c r="H370" s="36" t="s">
        <v>57</v>
      </c>
      <c r="J370" s="79" t="str">
        <f>IFERROR(VLOOKUP(I370,'[1]ABC Master Lists'!$B$2:$I$346,4,FALSE)," ")</f>
        <v xml:space="preserve"> </v>
      </c>
      <c r="K370" s="79" t="str">
        <f>IFERROR(VLOOKUP(I370,'[1]ABC Master Lists'!$B$2:$I$346,8,FALSE)," ")</f>
        <v xml:space="preserve"> </v>
      </c>
      <c r="L370" s="118" t="str">
        <f>IFERROR(VLOOKUP(J370,'[1]ABC Master Lists'!$AQ$2:$AS$12,3,FALSE)," ")</f>
        <v xml:space="preserve"> </v>
      </c>
      <c r="M370" s="118" t="str">
        <f>IFERROR(VLOOKUP(K370,'[1]ABC Master Lists'!$AD$2:$AE$22,2,FALSE), " ")</f>
        <v xml:space="preserve"> </v>
      </c>
    </row>
    <row r="371" spans="4:13" x14ac:dyDescent="0.25">
      <c r="E371" s="52" t="s">
        <v>6</v>
      </c>
      <c r="F371" s="4">
        <v>9</v>
      </c>
      <c r="G371" s="32" t="s">
        <v>80</v>
      </c>
      <c r="H371" s="36" t="s">
        <v>20</v>
      </c>
      <c r="J371" s="79" t="str">
        <f>IFERROR(VLOOKUP(I371,'[1]ABC Master Lists'!$B$2:$I$346,4,FALSE)," ")</f>
        <v xml:space="preserve"> </v>
      </c>
      <c r="K371" s="79" t="str">
        <f>IFERROR(VLOOKUP(I371,'[1]ABC Master Lists'!$B$2:$I$346,8,FALSE)," ")</f>
        <v xml:space="preserve"> </v>
      </c>
      <c r="L371" s="118" t="str">
        <f>IFERROR(VLOOKUP(J371,'[1]ABC Master Lists'!$AQ$2:$AS$12,3,FALSE)," ")</f>
        <v xml:space="preserve"> </v>
      </c>
      <c r="M371" s="118" t="str">
        <f>IFERROR(VLOOKUP(K371,'[1]ABC Master Lists'!$AD$2:$AE$22,2,FALSE), " ")</f>
        <v xml:space="preserve"> </v>
      </c>
    </row>
    <row r="372" spans="4:13" x14ac:dyDescent="0.25">
      <c r="D372" s="29"/>
      <c r="E372" s="99" t="s">
        <v>33</v>
      </c>
      <c r="F372" s="23">
        <v>0.25</v>
      </c>
      <c r="G372" s="35" t="s">
        <v>81</v>
      </c>
      <c r="H372" s="39" t="s">
        <v>20</v>
      </c>
      <c r="I372" s="39"/>
      <c r="J372" s="82" t="str">
        <f>IFERROR(VLOOKUP(I372,'[1]ABC Master Lists'!$B$2:$I$346,4,FALSE)," ")</f>
        <v xml:space="preserve"> </v>
      </c>
      <c r="K372" s="82" t="str">
        <f>IFERROR(VLOOKUP(I372,'[1]ABC Master Lists'!$B$2:$I$346,8,FALSE)," ")</f>
        <v xml:space="preserve"> </v>
      </c>
      <c r="L372" s="121" t="str">
        <f>IFERROR(VLOOKUP(J372,'[1]ABC Master Lists'!$AQ$2:$AS$12,3,FALSE)," ")</f>
        <v xml:space="preserve"> </v>
      </c>
      <c r="M372" s="121" t="str">
        <f>IFERROR(VLOOKUP(K372,'[1]ABC Master Lists'!$AD$2:$AE$22,2,FALSE), " ")</f>
        <v xml:space="preserve"> </v>
      </c>
    </row>
    <row r="373" spans="4:13" x14ac:dyDescent="0.25">
      <c r="D373" s="26">
        <v>17</v>
      </c>
      <c r="E373" s="52" t="s">
        <v>10</v>
      </c>
      <c r="F373" s="4">
        <v>6</v>
      </c>
      <c r="G373" s="32" t="s">
        <v>80</v>
      </c>
      <c r="H373" s="36" t="s">
        <v>57</v>
      </c>
      <c r="I373" s="36">
        <v>88</v>
      </c>
      <c r="J373" s="79">
        <f>IFERROR(VLOOKUP(I373,'[1]ABC Master Lists'!$B$2:$I$346,4,FALSE)," ")</f>
        <v>4</v>
      </c>
      <c r="K373" s="79">
        <f>IFERROR(VLOOKUP(I373,'[1]ABC Master Lists'!$B$2:$I$346,8,FALSE)," ")</f>
        <v>7</v>
      </c>
      <c r="L373" s="118" t="str">
        <f>IFERROR(VLOOKUP(J373,'[1]ABC Master Lists'!$AQ$2:$AS$12,3,FALSE)," ")</f>
        <v>+</v>
      </c>
      <c r="M373" s="118" t="str">
        <f>IFERROR(VLOOKUP(K373,'[1]ABC Master Lists'!$AD$2:$AE$22,2,FALSE), " ")</f>
        <v>+</v>
      </c>
    </row>
    <row r="374" spans="4:13" x14ac:dyDescent="0.25">
      <c r="E374" s="52" t="s">
        <v>33</v>
      </c>
      <c r="F374" s="4">
        <v>0.25</v>
      </c>
      <c r="G374" s="32" t="s">
        <v>81</v>
      </c>
      <c r="H374" s="36" t="s">
        <v>57</v>
      </c>
      <c r="J374" s="79" t="str">
        <f>IFERROR(VLOOKUP(I374,'[1]ABC Master Lists'!$B$2:$I$346,4,FALSE)," ")</f>
        <v xml:space="preserve"> </v>
      </c>
      <c r="K374" s="79" t="str">
        <f>IFERROR(VLOOKUP(I374,'[1]ABC Master Lists'!$B$2:$I$346,8,FALSE)," ")</f>
        <v xml:space="preserve"> </v>
      </c>
      <c r="L374" s="118" t="str">
        <f>IFERROR(VLOOKUP(J374,'[1]ABC Master Lists'!$AQ$2:$AS$12,3,FALSE)," ")</f>
        <v xml:space="preserve"> </v>
      </c>
      <c r="M374" s="118" t="str">
        <f>IFERROR(VLOOKUP(K374,'[1]ABC Master Lists'!$AD$2:$AE$22,2,FALSE), " ")</f>
        <v xml:space="preserve"> </v>
      </c>
    </row>
    <row r="375" spans="4:13" x14ac:dyDescent="0.25">
      <c r="D375" s="28">
        <v>18</v>
      </c>
      <c r="E375" s="166" t="s">
        <v>10</v>
      </c>
      <c r="F375" s="20">
        <v>8</v>
      </c>
      <c r="G375" s="34" t="s">
        <v>80</v>
      </c>
      <c r="H375" s="38" t="s">
        <v>57</v>
      </c>
      <c r="I375" s="38">
        <v>91</v>
      </c>
      <c r="J375" s="83">
        <f>IFERROR(VLOOKUP(I375,'[1]ABC Master Lists'!$B$2:$I$346,4,FALSE)," ")</f>
        <v>4</v>
      </c>
      <c r="K375" s="83">
        <f>IFERROR(VLOOKUP(I375,'[1]ABC Master Lists'!$B$2:$I$346,8,FALSE)," ")</f>
        <v>7</v>
      </c>
      <c r="L375" s="122" t="str">
        <f>IFERROR(VLOOKUP(J375,'[1]ABC Master Lists'!$AQ$2:$AS$12,3,FALSE)," ")</f>
        <v>+</v>
      </c>
      <c r="M375" s="122" t="str">
        <f>IFERROR(VLOOKUP(K375,'[1]ABC Master Lists'!$AD$2:$AE$22,2,FALSE), " ")</f>
        <v>+</v>
      </c>
    </row>
    <row r="376" spans="4:13" x14ac:dyDescent="0.25">
      <c r="D376" s="29"/>
      <c r="E376" s="99" t="s">
        <v>33</v>
      </c>
      <c r="F376" s="23">
        <v>0.25</v>
      </c>
      <c r="G376" s="35" t="s">
        <v>81</v>
      </c>
      <c r="H376" s="39" t="s">
        <v>57</v>
      </c>
      <c r="I376" s="39"/>
      <c r="J376" s="82" t="str">
        <f>IFERROR(VLOOKUP(I376,'[1]ABC Master Lists'!$B$2:$I$346,4,FALSE)," ")</f>
        <v xml:space="preserve"> </v>
      </c>
      <c r="K376" s="82" t="str">
        <f>IFERROR(VLOOKUP(I376,'[1]ABC Master Lists'!$B$2:$I$346,8,FALSE)," ")</f>
        <v xml:space="preserve"> </v>
      </c>
      <c r="L376" s="121" t="str">
        <f>IFERROR(VLOOKUP(J376,'[1]ABC Master Lists'!$AQ$2:$AS$12,3,FALSE)," ")</f>
        <v xml:space="preserve"> </v>
      </c>
      <c r="M376" s="121" t="str">
        <f>IFERROR(VLOOKUP(K376,'[1]ABC Master Lists'!$AD$2:$AE$22,2,FALSE), " ")</f>
        <v xml:space="preserve"> </v>
      </c>
    </row>
    <row r="377" spans="4:13" x14ac:dyDescent="0.25">
      <c r="D377" s="26">
        <v>19</v>
      </c>
      <c r="E377" s="52" t="s">
        <v>13</v>
      </c>
      <c r="F377" s="4">
        <v>3</v>
      </c>
      <c r="G377" s="32" t="s">
        <v>80</v>
      </c>
      <c r="H377" s="36" t="s">
        <v>57</v>
      </c>
      <c r="I377" s="36">
        <v>157</v>
      </c>
      <c r="J377" s="79">
        <f>IFERROR(VLOOKUP(I377,'[1]ABC Master Lists'!$B$2:$I$346,4,FALSE)," ")</f>
        <v>22</v>
      </c>
      <c r="K377" s="79">
        <f>IFERROR(VLOOKUP(I377,'[1]ABC Master Lists'!$B$2:$I$346,8,FALSE)," ")</f>
        <v>7</v>
      </c>
      <c r="L377" s="118" t="str">
        <f>IFERROR(VLOOKUP(J377,'[1]ABC Master Lists'!$AQ$2:$AS$12,3,FALSE)," ")</f>
        <v>+</v>
      </c>
      <c r="M377" s="118" t="str">
        <f>IFERROR(VLOOKUP(K377,'[1]ABC Master Lists'!$AD$2:$AE$22,2,FALSE), " ")</f>
        <v>+</v>
      </c>
    </row>
    <row r="378" spans="4:13" x14ac:dyDescent="0.25">
      <c r="E378" s="52" t="s">
        <v>33</v>
      </c>
      <c r="F378" s="4">
        <v>0.25</v>
      </c>
      <c r="G378" s="32" t="s">
        <v>81</v>
      </c>
      <c r="H378" s="36" t="s">
        <v>57</v>
      </c>
      <c r="J378" s="79" t="str">
        <f>IFERROR(VLOOKUP(I378,'[1]ABC Master Lists'!$B$2:$I$346,4,FALSE)," ")</f>
        <v xml:space="preserve"> </v>
      </c>
      <c r="K378" s="79" t="str">
        <f>IFERROR(VLOOKUP(I378,'[1]ABC Master Lists'!$B$2:$I$346,8,FALSE)," ")</f>
        <v xml:space="preserve"> </v>
      </c>
      <c r="L378" s="118" t="str">
        <f>IFERROR(VLOOKUP(J378,'[1]ABC Master Lists'!$AQ$2:$AS$12,3,FALSE)," ")</f>
        <v xml:space="preserve"> </v>
      </c>
      <c r="M378" s="118" t="str">
        <f>IFERROR(VLOOKUP(K378,'[1]ABC Master Lists'!$AD$2:$AE$22,2,FALSE), " ")</f>
        <v xml:space="preserve"> </v>
      </c>
    </row>
    <row r="379" spans="4:13" x14ac:dyDescent="0.25">
      <c r="D379" s="28">
        <v>25</v>
      </c>
      <c r="E379" s="166" t="s">
        <v>13</v>
      </c>
      <c r="F379" s="20">
        <v>3</v>
      </c>
      <c r="G379" s="34" t="s">
        <v>80</v>
      </c>
      <c r="H379" s="38" t="s">
        <v>57</v>
      </c>
      <c r="I379" s="38">
        <v>157</v>
      </c>
      <c r="J379" s="83">
        <f>IFERROR(VLOOKUP(I379,'[1]ABC Master Lists'!$B$2:$I$346,4,FALSE)," ")</f>
        <v>22</v>
      </c>
      <c r="K379" s="83">
        <f>IFERROR(VLOOKUP(I379,'[1]ABC Master Lists'!$B$2:$I$346,8,FALSE)," ")</f>
        <v>7</v>
      </c>
      <c r="L379" s="122" t="str">
        <f>IFERROR(VLOOKUP(J379,'[1]ABC Master Lists'!$AQ$2:$AS$12,3,FALSE)," ")</f>
        <v>+</v>
      </c>
      <c r="M379" s="122" t="str">
        <f>IFERROR(VLOOKUP(K379,'[1]ABC Master Lists'!$AD$2:$AE$22,2,FALSE), " ")</f>
        <v>+</v>
      </c>
    </row>
    <row r="380" spans="4:13" x14ac:dyDescent="0.25">
      <c r="D380" s="29"/>
      <c r="E380" s="99" t="s">
        <v>33</v>
      </c>
      <c r="F380" s="23">
        <v>0.25</v>
      </c>
      <c r="G380" s="35" t="s">
        <v>81</v>
      </c>
      <c r="H380" s="39" t="s">
        <v>57</v>
      </c>
      <c r="I380" s="39"/>
      <c r="J380" s="82" t="str">
        <f>IFERROR(VLOOKUP(I380,'[1]ABC Master Lists'!$B$2:$I$346,4,FALSE)," ")</f>
        <v xml:space="preserve"> </v>
      </c>
      <c r="K380" s="82" t="str">
        <f>IFERROR(VLOOKUP(I380,'[1]ABC Master Lists'!$B$2:$I$346,8,FALSE)," ")</f>
        <v xml:space="preserve"> </v>
      </c>
      <c r="L380" s="121" t="str">
        <f>IFERROR(VLOOKUP(J380,'[1]ABC Master Lists'!$AQ$2:$AS$12,3,FALSE)," ")</f>
        <v xml:space="preserve"> </v>
      </c>
      <c r="M380" s="121" t="str">
        <f>IFERROR(VLOOKUP(K380,'[1]ABC Master Lists'!$AD$2:$AE$22,2,FALSE), " ")</f>
        <v xml:space="preserve"> </v>
      </c>
    </row>
    <row r="381" spans="4:13" x14ac:dyDescent="0.25">
      <c r="D381" s="26">
        <v>20</v>
      </c>
      <c r="E381" s="52" t="s">
        <v>15</v>
      </c>
      <c r="F381" s="4">
        <v>5</v>
      </c>
      <c r="G381" s="32" t="s">
        <v>80</v>
      </c>
      <c r="H381" s="36" t="s">
        <v>57</v>
      </c>
      <c r="I381" s="36">
        <v>75</v>
      </c>
      <c r="J381" s="79">
        <f>IFERROR(VLOOKUP(I381,'[1]ABC Master Lists'!$B$2:$I$346,4,FALSE)," ")</f>
        <v>26</v>
      </c>
      <c r="K381" s="79">
        <f>IFERROR(VLOOKUP(I381,'[1]ABC Master Lists'!$B$2:$I$346,8,FALSE)," ")</f>
        <v>7</v>
      </c>
      <c r="L381" s="118" t="str">
        <f>IFERROR(VLOOKUP(J381,'[1]ABC Master Lists'!$AQ$2:$AS$12,3,FALSE)," ")</f>
        <v>+</v>
      </c>
      <c r="M381" s="118" t="str">
        <f>IFERROR(VLOOKUP(K381,'[1]ABC Master Lists'!$AD$2:$AE$22,2,FALSE), " ")</f>
        <v>+</v>
      </c>
    </row>
    <row r="382" spans="4:13" x14ac:dyDescent="0.25">
      <c r="E382" s="52" t="s">
        <v>33</v>
      </c>
      <c r="F382" s="4">
        <v>0.25</v>
      </c>
      <c r="G382" s="32" t="s">
        <v>81</v>
      </c>
      <c r="H382" s="36" t="s">
        <v>57</v>
      </c>
      <c r="J382" s="79" t="str">
        <f>IFERROR(VLOOKUP(I382,'[1]ABC Master Lists'!$B$2:$I$346,4,FALSE)," ")</f>
        <v xml:space="preserve"> </v>
      </c>
      <c r="K382" s="79" t="str">
        <f>IFERROR(VLOOKUP(I382,'[1]ABC Master Lists'!$B$2:$I$346,8,FALSE)," ")</f>
        <v xml:space="preserve"> </v>
      </c>
      <c r="L382" s="118" t="str">
        <f>IFERROR(VLOOKUP(J382,'[1]ABC Master Lists'!$AQ$2:$AS$12,3,FALSE)," ")</f>
        <v xml:space="preserve"> </v>
      </c>
      <c r="M382" s="118" t="str">
        <f>IFERROR(VLOOKUP(K382,'[1]ABC Master Lists'!$AD$2:$AE$22,2,FALSE), " ")</f>
        <v xml:space="preserve"> </v>
      </c>
    </row>
    <row r="383" spans="4:13" x14ac:dyDescent="0.25">
      <c r="D383" s="28">
        <v>21</v>
      </c>
      <c r="E383" s="166" t="s">
        <v>15</v>
      </c>
      <c r="F383" s="20">
        <v>5</v>
      </c>
      <c r="G383" s="34" t="s">
        <v>80</v>
      </c>
      <c r="H383" s="38" t="s">
        <v>57</v>
      </c>
      <c r="I383" s="38">
        <v>75</v>
      </c>
      <c r="J383" s="83">
        <f>IFERROR(VLOOKUP(I383,'[1]ABC Master Lists'!$B$2:$I$346,4,FALSE)," ")</f>
        <v>26</v>
      </c>
      <c r="K383" s="83">
        <f>IFERROR(VLOOKUP(I383,'[1]ABC Master Lists'!$B$2:$I$346,8,FALSE)," ")</f>
        <v>7</v>
      </c>
      <c r="L383" s="122" t="str">
        <f>IFERROR(VLOOKUP(J383,'[1]ABC Master Lists'!$AQ$2:$AS$12,3,FALSE)," ")</f>
        <v>+</v>
      </c>
      <c r="M383" s="122" t="str">
        <f>IFERROR(VLOOKUP(K383,'[1]ABC Master Lists'!$AD$2:$AE$22,2,FALSE), " ")</f>
        <v>+</v>
      </c>
    </row>
    <row r="384" spans="4:13" x14ac:dyDescent="0.25">
      <c r="D384" s="29"/>
      <c r="E384" s="99" t="s">
        <v>33</v>
      </c>
      <c r="F384" s="23">
        <v>0.25</v>
      </c>
      <c r="G384" s="35" t="s">
        <v>81</v>
      </c>
      <c r="H384" s="39" t="s">
        <v>57</v>
      </c>
      <c r="I384" s="39"/>
      <c r="J384" s="82" t="str">
        <f>IFERROR(VLOOKUP(I384,'[1]ABC Master Lists'!$B$2:$I$346,4,FALSE)," ")</f>
        <v xml:space="preserve"> </v>
      </c>
      <c r="K384" s="82" t="str">
        <f>IFERROR(VLOOKUP(I384,'[1]ABC Master Lists'!$B$2:$I$346,8,FALSE)," ")</f>
        <v xml:space="preserve"> </v>
      </c>
      <c r="L384" s="121" t="str">
        <f>IFERROR(VLOOKUP(J384,'[1]ABC Master Lists'!$AQ$2:$AS$12,3,FALSE)," ")</f>
        <v xml:space="preserve"> </v>
      </c>
      <c r="M384" s="121" t="str">
        <f>IFERROR(VLOOKUP(K384,'[1]ABC Master Lists'!$AD$2:$AE$22,2,FALSE), " ")</f>
        <v xml:space="preserve"> </v>
      </c>
    </row>
    <row r="385" spans="1:13" x14ac:dyDescent="0.25">
      <c r="D385" s="26">
        <v>22</v>
      </c>
      <c r="E385" s="52" t="s">
        <v>35</v>
      </c>
      <c r="F385" s="4">
        <v>20</v>
      </c>
      <c r="G385" s="32" t="s">
        <v>80</v>
      </c>
      <c r="H385" s="36" t="s">
        <v>57</v>
      </c>
      <c r="I385" s="36">
        <v>211</v>
      </c>
      <c r="J385" s="79">
        <f>IFERROR(VLOOKUP(I385,'[1]ABC Master Lists'!$B$2:$I$346,4,FALSE)," ")</f>
        <v>28</v>
      </c>
      <c r="K385" s="79">
        <f>IFERROR(VLOOKUP(I385,'[1]ABC Master Lists'!$B$2:$I$346,8,FALSE)," ")</f>
        <v>7</v>
      </c>
      <c r="L385" s="118" t="str">
        <f>IFERROR(VLOOKUP(J385,'[1]ABC Master Lists'!$AQ$2:$AS$12,3,FALSE)," ")</f>
        <v>+</v>
      </c>
      <c r="M385" s="118" t="str">
        <f>IFERROR(VLOOKUP(K385,'[1]ABC Master Lists'!$AD$2:$AE$22,2,FALSE), " ")</f>
        <v>+</v>
      </c>
    </row>
    <row r="386" spans="1:13" x14ac:dyDescent="0.25">
      <c r="E386" s="52" t="s">
        <v>33</v>
      </c>
      <c r="F386" s="4">
        <v>0.25</v>
      </c>
      <c r="G386" s="32" t="s">
        <v>81</v>
      </c>
      <c r="H386" s="36" t="s">
        <v>57</v>
      </c>
      <c r="J386" s="79" t="str">
        <f>IFERROR(VLOOKUP(I386,'[1]ABC Master Lists'!$B$2:$I$346,4,FALSE)," ")</f>
        <v xml:space="preserve"> </v>
      </c>
      <c r="K386" s="79" t="str">
        <f>IFERROR(VLOOKUP(I386,'[1]ABC Master Lists'!$B$2:$I$346,8,FALSE)," ")</f>
        <v xml:space="preserve"> </v>
      </c>
      <c r="L386" s="118" t="str">
        <f>IFERROR(VLOOKUP(J386,'[1]ABC Master Lists'!$AQ$2:$AS$12,3,FALSE)," ")</f>
        <v xml:space="preserve"> </v>
      </c>
      <c r="M386" s="118" t="str">
        <f>IFERROR(VLOOKUP(K386,'[1]ABC Master Lists'!$AD$2:$AE$22,2,FALSE), " ")</f>
        <v xml:space="preserve"> </v>
      </c>
    </row>
    <row r="387" spans="1:13" x14ac:dyDescent="0.25">
      <c r="D387" s="28">
        <v>24</v>
      </c>
      <c r="E387" s="166" t="s">
        <v>10</v>
      </c>
      <c r="F387" s="20">
        <v>6</v>
      </c>
      <c r="G387" s="34" t="s">
        <v>80</v>
      </c>
      <c r="H387" s="38" t="s">
        <v>57</v>
      </c>
      <c r="I387" s="38">
        <v>103</v>
      </c>
      <c r="J387" s="83">
        <f>IFERROR(VLOOKUP(I387,'[1]ABC Master Lists'!$B$2:$I$346,4,FALSE)," ")</f>
        <v>41624</v>
      </c>
      <c r="K387" s="83">
        <f>IFERROR(VLOOKUP(I387,'[1]ABC Master Lists'!$B$2:$I$346,8,FALSE)," ")</f>
        <v>78</v>
      </c>
      <c r="L387" s="122" t="str">
        <f>IFERROR(VLOOKUP(J387,'[1]ABC Master Lists'!$AQ$2:$AS$12,3,FALSE)," ")</f>
        <v>+</v>
      </c>
      <c r="M387" s="122"/>
    </row>
    <row r="388" spans="1:13" x14ac:dyDescent="0.25">
      <c r="E388" s="52" t="s">
        <v>33</v>
      </c>
      <c r="F388" s="4">
        <v>0.25</v>
      </c>
      <c r="G388" s="32" t="s">
        <v>81</v>
      </c>
      <c r="H388" s="36" t="s">
        <v>57</v>
      </c>
      <c r="J388" s="79" t="str">
        <f>IFERROR(VLOOKUP(I388,'[1]ABC Master Lists'!$B$2:$I$346,4,FALSE)," ")</f>
        <v xml:space="preserve"> </v>
      </c>
      <c r="K388" s="79" t="str">
        <f>IFERROR(VLOOKUP(I388,'[1]ABC Master Lists'!$B$2:$I$346,8,FALSE)," ")</f>
        <v xml:space="preserve"> </v>
      </c>
      <c r="L388" s="118" t="str">
        <f>IFERROR(VLOOKUP(J388,'[1]ABC Master Lists'!$AQ$2:$AS$12,3,FALSE)," ")</f>
        <v xml:space="preserve"> </v>
      </c>
      <c r="M388" s="118" t="str">
        <f>IFERROR(VLOOKUP(K388,'[1]ABC Master Lists'!$AD$2:$AE$22,2,FALSE), " ")</f>
        <v xml:space="preserve"> </v>
      </c>
    </row>
    <row r="389" spans="1:13" x14ac:dyDescent="0.25">
      <c r="E389" s="52" t="s">
        <v>44</v>
      </c>
      <c r="F389" s="4">
        <v>4</v>
      </c>
      <c r="G389" s="32" t="s">
        <v>80</v>
      </c>
      <c r="H389" s="36" t="s">
        <v>20</v>
      </c>
      <c r="J389" s="79" t="str">
        <f>IFERROR(VLOOKUP(I389,'[1]ABC Master Lists'!$B$2:$I$346,4,FALSE)," ")</f>
        <v xml:space="preserve"> </v>
      </c>
      <c r="K389" s="79" t="str">
        <f>IFERROR(VLOOKUP(I389,'[1]ABC Master Lists'!$B$2:$I$346,8,FALSE)," ")</f>
        <v xml:space="preserve"> </v>
      </c>
      <c r="L389" s="118" t="str">
        <f>IFERROR(VLOOKUP(J389,'[1]ABC Master Lists'!$AQ$2:$AS$12,3,FALSE)," ")</f>
        <v xml:space="preserve"> </v>
      </c>
      <c r="M389" s="118" t="str">
        <f>IFERROR(VLOOKUP(K389,'[1]ABC Master Lists'!$AD$2:$AE$22,2,FALSE), " ")</f>
        <v xml:space="preserve"> </v>
      </c>
    </row>
    <row r="390" spans="1:13" x14ac:dyDescent="0.25">
      <c r="D390" s="29"/>
      <c r="E390" s="99" t="s">
        <v>33</v>
      </c>
      <c r="F390" s="23">
        <v>0.25</v>
      </c>
      <c r="G390" s="35" t="s">
        <v>81</v>
      </c>
      <c r="H390" s="39" t="s">
        <v>20</v>
      </c>
      <c r="I390" s="39"/>
      <c r="J390" s="82" t="str">
        <f>IFERROR(VLOOKUP(I390,'[1]ABC Master Lists'!$B$2:$I$346,4,FALSE)," ")</f>
        <v xml:space="preserve"> </v>
      </c>
      <c r="K390" s="82" t="str">
        <f>IFERROR(VLOOKUP(I390,'[1]ABC Master Lists'!$B$2:$I$346,8,FALSE)," ")</f>
        <v xml:space="preserve"> </v>
      </c>
      <c r="L390" s="121" t="str">
        <f>IFERROR(VLOOKUP(J390,'[1]ABC Master Lists'!$AQ$2:$AS$12,3,FALSE)," ")</f>
        <v xml:space="preserve"> </v>
      </c>
      <c r="M390" s="121" t="str">
        <f>IFERROR(VLOOKUP(K390,'[1]ABC Master Lists'!$AD$2:$AE$22,2,FALSE), " ")</f>
        <v xml:space="preserve"> </v>
      </c>
    </row>
    <row r="391" spans="1:13" x14ac:dyDescent="0.25">
      <c r="D391" s="26">
        <v>23</v>
      </c>
      <c r="E391" s="52" t="s">
        <v>18</v>
      </c>
      <c r="F391" s="4">
        <v>6</v>
      </c>
      <c r="G391" s="32" t="s">
        <v>80</v>
      </c>
      <c r="H391" s="36" t="s">
        <v>57</v>
      </c>
      <c r="I391" s="36">
        <v>53</v>
      </c>
      <c r="J391" s="79">
        <f>IFERROR(VLOOKUP(I391,'[1]ABC Master Lists'!$B$2:$I$346,4,FALSE)," ")</f>
        <v>18</v>
      </c>
      <c r="K391" s="79">
        <f>IFERROR(VLOOKUP(I391,'[1]ABC Master Lists'!$B$2:$I$346,8,FALSE)," ")</f>
        <v>7</v>
      </c>
      <c r="L391" s="118" t="str">
        <f>IFERROR(VLOOKUP(J391,'[1]ABC Master Lists'!$AQ$2:$AS$12,3,FALSE)," ")</f>
        <v>+</v>
      </c>
      <c r="M391" s="118" t="str">
        <f>IFERROR(VLOOKUP(K391,'[1]ABC Master Lists'!$AD$2:$AE$22,2,FALSE), " ")</f>
        <v>+</v>
      </c>
    </row>
    <row r="392" spans="1:13" x14ac:dyDescent="0.25">
      <c r="E392" s="52" t="s">
        <v>19</v>
      </c>
      <c r="F392" s="4">
        <v>0.125</v>
      </c>
      <c r="G392" s="32" t="s">
        <v>83</v>
      </c>
      <c r="H392" s="36" t="s">
        <v>57</v>
      </c>
      <c r="J392" s="79" t="str">
        <f>IFERROR(VLOOKUP(I392,'[1]ABC Master Lists'!$B$2:$I$346,4,FALSE)," ")</f>
        <v xml:space="preserve"> </v>
      </c>
      <c r="K392" s="79" t="str">
        <f>IFERROR(VLOOKUP(I392,'[1]ABC Master Lists'!$B$2:$I$346,8,FALSE)," ")</f>
        <v xml:space="preserve"> </v>
      </c>
      <c r="L392" s="118" t="str">
        <f>IFERROR(VLOOKUP(J392,'[1]ABC Master Lists'!$AQ$2:$AS$12,3,FALSE)," ")</f>
        <v xml:space="preserve"> </v>
      </c>
      <c r="M392" s="118" t="str">
        <f>IFERROR(VLOOKUP(K392,'[1]ABC Master Lists'!$AD$2:$AE$22,2,FALSE), " ")</f>
        <v xml:space="preserve"> </v>
      </c>
    </row>
    <row r="393" spans="1:13" x14ac:dyDescent="0.25">
      <c r="D393" s="28">
        <v>26</v>
      </c>
      <c r="E393" s="166" t="s">
        <v>18</v>
      </c>
      <c r="F393" s="20">
        <v>6</v>
      </c>
      <c r="G393" s="34" t="s">
        <v>80</v>
      </c>
      <c r="H393" s="38" t="s">
        <v>57</v>
      </c>
      <c r="I393" s="38">
        <v>53</v>
      </c>
      <c r="J393" s="83">
        <f>IFERROR(VLOOKUP(I393,'[1]ABC Master Lists'!$B$2:$I$346,4,FALSE)," ")</f>
        <v>18</v>
      </c>
      <c r="K393" s="83">
        <f>IFERROR(VLOOKUP(I393,'[1]ABC Master Lists'!$B$2:$I$346,8,FALSE)," ")</f>
        <v>7</v>
      </c>
      <c r="L393" s="122" t="str">
        <f>IFERROR(VLOOKUP(J393,'[1]ABC Master Lists'!$AQ$2:$AS$12,3,FALSE)," ")</f>
        <v>+</v>
      </c>
      <c r="M393" s="122" t="str">
        <f>IFERROR(VLOOKUP(K393,'[1]ABC Master Lists'!$AD$2:$AE$22,2,FALSE), " ")</f>
        <v>+</v>
      </c>
    </row>
    <row r="394" spans="1:13" x14ac:dyDescent="0.25">
      <c r="A394" s="25"/>
      <c r="B394" s="25"/>
      <c r="C394" s="25"/>
      <c r="D394" s="29"/>
      <c r="E394" s="99" t="s">
        <v>19</v>
      </c>
      <c r="F394" s="23">
        <v>0.125</v>
      </c>
      <c r="G394" s="35" t="s">
        <v>83</v>
      </c>
      <c r="H394" s="39" t="s">
        <v>57</v>
      </c>
      <c r="I394" s="39"/>
      <c r="J394" s="82" t="str">
        <f>IFERROR(VLOOKUP(I394,'[1]ABC Master Lists'!$B$2:$I$346,4,FALSE)," ")</f>
        <v xml:space="preserve"> </v>
      </c>
      <c r="K394" s="82" t="str">
        <f>IFERROR(VLOOKUP(I394,'[1]ABC Master Lists'!$B$2:$I$346,8,FALSE)," ")</f>
        <v xml:space="preserve"> </v>
      </c>
      <c r="L394" s="121" t="str">
        <f>IFERROR(VLOOKUP(J394,'[1]ABC Master Lists'!$AQ$2:$AS$12,3,FALSE)," ")</f>
        <v xml:space="preserve"> </v>
      </c>
      <c r="M394" s="121" t="str">
        <f>IFERROR(VLOOKUP(K394,'[1]ABC Master Lists'!$AD$2:$AE$22,2,FALSE), " ")</f>
        <v xml:space="preserve"> </v>
      </c>
    </row>
    <row r="395" spans="1:13" x14ac:dyDescent="0.25">
      <c r="A395" s="24">
        <v>2014</v>
      </c>
      <c r="B395" s="24" t="s">
        <v>166</v>
      </c>
      <c r="C395" s="24">
        <v>1</v>
      </c>
      <c r="D395" s="26">
        <v>1</v>
      </c>
      <c r="E395" s="24" t="s">
        <v>79</v>
      </c>
      <c r="F395" s="4" t="s">
        <v>2</v>
      </c>
      <c r="G395" s="32" t="s">
        <v>2</v>
      </c>
      <c r="H395" s="36" t="s">
        <v>2</v>
      </c>
      <c r="I395" s="36">
        <v>1</v>
      </c>
      <c r="J395" s="79" t="str">
        <f>IFERROR(VLOOKUP(I395,'[1]ABC Master Lists'!$B$2:$I$346,4,FALSE)," ")</f>
        <v>.</v>
      </c>
      <c r="K395" s="79" t="str">
        <f>IFERROR(VLOOKUP(I395,'[1]ABC Master Lists'!$B$2:$I$346,8,FALSE)," ")</f>
        <v>.</v>
      </c>
      <c r="L395" s="118" t="str">
        <f>IFERROR(VLOOKUP(J395,'[1]ABC Master Lists'!$AQ$2:$AS$12,3,FALSE)," ")</f>
        <v>+</v>
      </c>
      <c r="M395" s="118" t="str">
        <f>IFERROR(VLOOKUP(K395,'[1]ABC Master Lists'!$AD$2:$AE$22,2,FALSE), " ")</f>
        <v>+</v>
      </c>
    </row>
    <row r="396" spans="1:13" x14ac:dyDescent="0.25">
      <c r="D396" s="27">
        <v>2</v>
      </c>
      <c r="E396" s="30" t="s">
        <v>60</v>
      </c>
      <c r="F396" s="17">
        <v>31</v>
      </c>
      <c r="G396" s="33" t="s">
        <v>7</v>
      </c>
      <c r="H396" s="37" t="s">
        <v>5</v>
      </c>
      <c r="I396" s="37">
        <v>44</v>
      </c>
      <c r="J396" s="81">
        <f>IFERROR(VLOOKUP(I396,'[1]ABC Master Lists'!$B$2:$I$346,4,FALSE)," ")</f>
        <v>28</v>
      </c>
      <c r="K396" s="81">
        <f>IFERROR(VLOOKUP(I396,'[1]ABC Master Lists'!$B$2:$I$346,8,FALSE)," ")</f>
        <v>6</v>
      </c>
      <c r="L396" s="120" t="str">
        <f>IFERROR(VLOOKUP(J396,'[1]ABC Master Lists'!$AQ$2:$AS$12,3,FALSE)," ")</f>
        <v>+</v>
      </c>
      <c r="M396" s="120" t="str">
        <f>IFERROR(VLOOKUP(K396,'[1]ABC Master Lists'!$AD$2:$AE$22,2,FALSE), " ")</f>
        <v>+</v>
      </c>
    </row>
    <row r="397" spans="1:13" x14ac:dyDescent="0.25">
      <c r="D397" s="26">
        <v>3</v>
      </c>
      <c r="E397" s="24" t="s">
        <v>60</v>
      </c>
      <c r="F397" s="4">
        <v>23.4</v>
      </c>
      <c r="G397" s="32" t="s">
        <v>7</v>
      </c>
      <c r="H397" s="36" t="s">
        <v>20</v>
      </c>
      <c r="I397" s="36">
        <v>43</v>
      </c>
      <c r="J397" s="79">
        <f>IFERROR(VLOOKUP(I397,'[1]ABC Master Lists'!$B$2:$I$346,4,FALSE)," ")</f>
        <v>28</v>
      </c>
      <c r="K397" s="79">
        <f>IFERROR(VLOOKUP(I397,'[1]ABC Master Lists'!$B$2:$I$346,8,FALSE)," ")</f>
        <v>8</v>
      </c>
      <c r="L397" s="118" t="str">
        <f>IFERROR(VLOOKUP(J397,'[1]ABC Master Lists'!$AQ$2:$AS$12,3,FALSE)," ")</f>
        <v>+</v>
      </c>
      <c r="M397" s="118" t="str">
        <f>IFERROR(VLOOKUP(K397,'[1]ABC Master Lists'!$AD$2:$AE$22,2,FALSE), " ")</f>
        <v>+</v>
      </c>
    </row>
    <row r="398" spans="1:13" x14ac:dyDescent="0.25">
      <c r="D398" s="27">
        <v>4</v>
      </c>
      <c r="E398" s="30" t="s">
        <v>60</v>
      </c>
      <c r="F398" s="17">
        <v>31</v>
      </c>
      <c r="G398" s="33" t="s">
        <v>7</v>
      </c>
      <c r="H398" s="37" t="s">
        <v>20</v>
      </c>
      <c r="I398" s="37">
        <v>45</v>
      </c>
      <c r="J398" s="81">
        <f>IFERROR(VLOOKUP(I398,'[1]ABC Master Lists'!$B$2:$I$346,4,FALSE)," ")</f>
        <v>28</v>
      </c>
      <c r="K398" s="81">
        <f>IFERROR(VLOOKUP(I398,'[1]ABC Master Lists'!$B$2:$I$346,8,FALSE)," ")</f>
        <v>8</v>
      </c>
      <c r="L398" s="120" t="str">
        <f>IFERROR(VLOOKUP(J398,'[1]ABC Master Lists'!$AQ$2:$AS$12,3,FALSE)," ")</f>
        <v>+</v>
      </c>
      <c r="M398" s="120" t="str">
        <f>IFERROR(VLOOKUP(K398,'[1]ABC Master Lists'!$AD$2:$AE$22,2,FALSE), " ")</f>
        <v>+</v>
      </c>
    </row>
    <row r="399" spans="1:13" x14ac:dyDescent="0.25">
      <c r="D399" s="26">
        <v>5</v>
      </c>
      <c r="E399" s="24" t="s">
        <v>35</v>
      </c>
      <c r="F399" s="4">
        <v>21.3</v>
      </c>
      <c r="G399" s="32" t="s">
        <v>7</v>
      </c>
      <c r="H399" s="36" t="s">
        <v>20</v>
      </c>
      <c r="I399" s="36">
        <v>218</v>
      </c>
      <c r="J399" s="79">
        <f>IFERROR(VLOOKUP(I399,'[1]ABC Master Lists'!$B$2:$I$346,4,FALSE)," ")</f>
        <v>28</v>
      </c>
      <c r="K399" s="79">
        <f>IFERROR(VLOOKUP(I399,'[1]ABC Master Lists'!$B$2:$I$346,8,FALSE)," ")</f>
        <v>8</v>
      </c>
      <c r="L399" s="118" t="str">
        <f>IFERROR(VLOOKUP(J399,'[1]ABC Master Lists'!$AQ$2:$AS$12,3,FALSE)," ")</f>
        <v>+</v>
      </c>
      <c r="M399" s="118" t="str">
        <f>IFERROR(VLOOKUP(K399,'[1]ABC Master Lists'!$AD$2:$AE$22,2,FALSE), " ")</f>
        <v>+</v>
      </c>
    </row>
    <row r="400" spans="1:13" x14ac:dyDescent="0.25">
      <c r="D400" s="27">
        <v>6</v>
      </c>
      <c r="E400" s="30" t="s">
        <v>35</v>
      </c>
      <c r="F400" s="17">
        <v>28.4</v>
      </c>
      <c r="G400" s="33" t="s">
        <v>7</v>
      </c>
      <c r="H400" s="37" t="s">
        <v>20</v>
      </c>
      <c r="I400" s="37">
        <v>219</v>
      </c>
      <c r="J400" s="81">
        <f>IFERROR(VLOOKUP(I400,'[1]ABC Master Lists'!$B$2:$I$346,4,FALSE)," ")</f>
        <v>28</v>
      </c>
      <c r="K400" s="81">
        <f>IFERROR(VLOOKUP(I400,'[1]ABC Master Lists'!$B$2:$I$346,8,FALSE)," ")</f>
        <v>8</v>
      </c>
      <c r="L400" s="120" t="str">
        <f>IFERROR(VLOOKUP(J400,'[1]ABC Master Lists'!$AQ$2:$AS$12,3,FALSE)," ")</f>
        <v>+</v>
      </c>
      <c r="M400" s="120" t="str">
        <f>IFERROR(VLOOKUP(K400,'[1]ABC Master Lists'!$AD$2:$AE$22,2,FALSE), " ")</f>
        <v>+</v>
      </c>
    </row>
    <row r="401" spans="4:13" x14ac:dyDescent="0.25">
      <c r="D401" s="26">
        <v>7</v>
      </c>
      <c r="E401" s="24" t="s">
        <v>60</v>
      </c>
      <c r="F401" s="4">
        <v>23.4</v>
      </c>
      <c r="G401" s="32" t="s">
        <v>7</v>
      </c>
      <c r="H401" s="36" t="s">
        <v>20</v>
      </c>
      <c r="I401" s="36">
        <v>46</v>
      </c>
      <c r="J401" s="79">
        <f>IFERROR(VLOOKUP(I401,'[1]ABC Master Lists'!$B$2:$I$346,4,FALSE)," ")</f>
        <v>2815</v>
      </c>
      <c r="K401" s="79">
        <f>IFERROR(VLOOKUP(I401,'[1]ABC Master Lists'!$B$2:$I$346,8,FALSE)," ")</f>
        <v>8</v>
      </c>
      <c r="L401" s="118" t="str">
        <f>IFERROR(VLOOKUP(J401,'[1]ABC Master Lists'!$AQ$2:$AS$12,3,FALSE)," ")</f>
        <v xml:space="preserve"> </v>
      </c>
      <c r="M401" s="118" t="str">
        <f>IFERROR(VLOOKUP(K401,'[1]ABC Master Lists'!$AD$2:$AE$22,2,FALSE), " ")</f>
        <v>+</v>
      </c>
    </row>
    <row r="402" spans="4:13" x14ac:dyDescent="0.25">
      <c r="E402" s="24" t="s">
        <v>36</v>
      </c>
      <c r="F402" s="4">
        <v>10</v>
      </c>
      <c r="G402" s="32" t="s">
        <v>7</v>
      </c>
      <c r="H402" s="36" t="s">
        <v>20</v>
      </c>
      <c r="J402" s="79" t="str">
        <f>IFERROR(VLOOKUP(I402,'[1]ABC Master Lists'!$B$2:$I$346,4,FALSE)," ")</f>
        <v xml:space="preserve"> </v>
      </c>
      <c r="K402" s="79" t="str">
        <f>IFERROR(VLOOKUP(I402,'[1]ABC Master Lists'!$B$2:$I$346,8,FALSE)," ")</f>
        <v xml:space="preserve"> </v>
      </c>
      <c r="L402" s="118" t="str">
        <f>IFERROR(VLOOKUP(J402,'[1]ABC Master Lists'!$AQ$2:$AS$12,3,FALSE)," ")</f>
        <v xml:space="preserve"> </v>
      </c>
      <c r="M402" s="118" t="str">
        <f>IFERROR(VLOOKUP(K402,'[1]ABC Master Lists'!$AD$2:$AE$22,2,FALSE), " ")</f>
        <v xml:space="preserve"> </v>
      </c>
    </row>
    <row r="403" spans="4:13" x14ac:dyDescent="0.25">
      <c r="D403" s="27">
        <v>8</v>
      </c>
      <c r="E403" s="30" t="s">
        <v>48</v>
      </c>
      <c r="F403" s="17">
        <v>5</v>
      </c>
      <c r="G403" s="33" t="s">
        <v>7</v>
      </c>
      <c r="H403" s="37" t="s">
        <v>5</v>
      </c>
      <c r="I403" s="37">
        <v>106</v>
      </c>
      <c r="J403" s="81">
        <f>IFERROR(VLOOKUP(I403,'[1]ABC Master Lists'!$B$2:$I$346,4,FALSE)," ")</f>
        <v>1415</v>
      </c>
      <c r="K403" s="81">
        <f>IFERROR(VLOOKUP(I403,'[1]ABC Master Lists'!$B$2:$I$346,8,FALSE)," ")</f>
        <v>6</v>
      </c>
      <c r="L403" s="120" t="str">
        <f>IFERROR(VLOOKUP(J403,'[1]ABC Master Lists'!$AQ$2:$AS$12,3,FALSE)," ")</f>
        <v>+</v>
      </c>
      <c r="M403" s="120" t="str">
        <f>IFERROR(VLOOKUP(K403,'[1]ABC Master Lists'!$AD$2:$AE$22,2,FALSE), " ")</f>
        <v>+</v>
      </c>
    </row>
    <row r="404" spans="4:13" x14ac:dyDescent="0.25">
      <c r="D404" s="26">
        <v>9</v>
      </c>
      <c r="E404" s="24" t="s">
        <v>48</v>
      </c>
      <c r="F404" s="4">
        <v>5</v>
      </c>
      <c r="G404" s="32" t="s">
        <v>7</v>
      </c>
      <c r="H404" s="36" t="s">
        <v>20</v>
      </c>
      <c r="I404" s="36">
        <v>108</v>
      </c>
      <c r="J404" s="79">
        <f>IFERROR(VLOOKUP(I404,'[1]ABC Master Lists'!$B$2:$I$346,4,FALSE)," ")</f>
        <v>1415</v>
      </c>
      <c r="K404" s="79">
        <f>IFERROR(VLOOKUP(I404,'[1]ABC Master Lists'!$B$2:$I$346,8,FALSE)," ")</f>
        <v>8</v>
      </c>
      <c r="L404" s="118" t="str">
        <f>IFERROR(VLOOKUP(J404,'[1]ABC Master Lists'!$AQ$2:$AS$12,3,FALSE)," ")</f>
        <v>+</v>
      </c>
      <c r="M404" s="118" t="str">
        <f>IFERROR(VLOOKUP(K404,'[1]ABC Master Lists'!$AD$2:$AE$22,2,FALSE), " ")</f>
        <v>+</v>
      </c>
    </row>
    <row r="405" spans="4:13" x14ac:dyDescent="0.25">
      <c r="D405" s="27">
        <v>10</v>
      </c>
      <c r="E405" s="30" t="s">
        <v>38</v>
      </c>
      <c r="F405" s="17">
        <v>4</v>
      </c>
      <c r="G405" s="33" t="s">
        <v>7</v>
      </c>
      <c r="H405" s="37" t="s">
        <v>20</v>
      </c>
      <c r="I405" s="37">
        <v>197</v>
      </c>
      <c r="J405" s="81">
        <f>IFERROR(VLOOKUP(I405,'[1]ABC Master Lists'!$B$2:$I$346,4,FALSE)," ")</f>
        <v>2129</v>
      </c>
      <c r="K405" s="81">
        <f>IFERROR(VLOOKUP(I405,'[1]ABC Master Lists'!$B$2:$I$346,8,FALSE)," ")</f>
        <v>8</v>
      </c>
      <c r="L405" s="120" t="str">
        <f>IFERROR(VLOOKUP(J405,'[1]ABC Master Lists'!$AQ$2:$AS$12,3,FALSE)," ")</f>
        <v xml:space="preserve"> </v>
      </c>
      <c r="M405" s="120" t="str">
        <f>IFERROR(VLOOKUP(K405,'[1]ABC Master Lists'!$AD$2:$AE$22,2,FALSE), " ")</f>
        <v>+</v>
      </c>
    </row>
    <row r="406" spans="4:13" x14ac:dyDescent="0.25">
      <c r="D406" s="26">
        <v>11</v>
      </c>
      <c r="E406" s="24" t="s">
        <v>6</v>
      </c>
      <c r="F406" s="4">
        <v>9</v>
      </c>
      <c r="G406" s="32" t="s">
        <v>7</v>
      </c>
      <c r="H406" s="36" t="s">
        <v>5</v>
      </c>
      <c r="I406" s="36">
        <v>22</v>
      </c>
      <c r="J406" s="79">
        <f>IFERROR(VLOOKUP(I406,'[1]ABC Master Lists'!$B$2:$I$346,4,FALSE)," ")</f>
        <v>20</v>
      </c>
      <c r="K406" s="79">
        <f>IFERROR(VLOOKUP(I406,'[1]ABC Master Lists'!$B$2:$I$346,8,FALSE)," ")</f>
        <v>67</v>
      </c>
      <c r="L406" s="118" t="str">
        <f>IFERROR(VLOOKUP(J406,'[1]ABC Master Lists'!$AQ$2:$AS$12,3,FALSE)," ")</f>
        <v>+</v>
      </c>
      <c r="M406" s="118" t="str">
        <f>IFERROR(VLOOKUP(K406,'[1]ABC Master Lists'!$AD$2:$AE$22,2,FALSE), " ")</f>
        <v>+</v>
      </c>
    </row>
    <row r="407" spans="4:13" x14ac:dyDescent="0.25">
      <c r="E407" s="24" t="s">
        <v>33</v>
      </c>
      <c r="F407" s="7">
        <v>0.25</v>
      </c>
      <c r="G407" s="32" t="s">
        <v>54</v>
      </c>
      <c r="H407" s="36" t="s">
        <v>5</v>
      </c>
      <c r="J407" s="79" t="str">
        <f>IFERROR(VLOOKUP(I407,'[1]ABC Master Lists'!$B$2:$I$346,4,FALSE)," ")</f>
        <v xml:space="preserve"> </v>
      </c>
      <c r="K407" s="79" t="str">
        <f>IFERROR(VLOOKUP(I407,'[1]ABC Master Lists'!$B$2:$I$346,8,FALSE)," ")</f>
        <v xml:space="preserve"> </v>
      </c>
      <c r="L407" s="118" t="str">
        <f>IFERROR(VLOOKUP(J407,'[1]ABC Master Lists'!$AQ$2:$AS$12,3,FALSE)," ")</f>
        <v xml:space="preserve"> </v>
      </c>
      <c r="M407" s="118" t="str">
        <f>IFERROR(VLOOKUP(K407,'[1]ABC Master Lists'!$AD$2:$AE$22,2,FALSE), " ")</f>
        <v xml:space="preserve"> </v>
      </c>
    </row>
    <row r="408" spans="4:13" x14ac:dyDescent="0.25">
      <c r="E408" s="24" t="s">
        <v>6</v>
      </c>
      <c r="F408" s="4">
        <v>9</v>
      </c>
      <c r="G408" s="32" t="s">
        <v>7</v>
      </c>
      <c r="H408" s="36" t="s">
        <v>57</v>
      </c>
      <c r="J408" s="79" t="str">
        <f>IFERROR(VLOOKUP(I408,'[1]ABC Master Lists'!$B$2:$I$346,4,FALSE)," ")</f>
        <v xml:space="preserve"> </v>
      </c>
      <c r="K408" s="79" t="str">
        <f>IFERROR(VLOOKUP(I408,'[1]ABC Master Lists'!$B$2:$I$346,8,FALSE)," ")</f>
        <v xml:space="preserve"> </v>
      </c>
      <c r="L408" s="118" t="str">
        <f>IFERROR(VLOOKUP(J408,'[1]ABC Master Lists'!$AQ$2:$AS$12,3,FALSE)," ")</f>
        <v xml:space="preserve"> </v>
      </c>
      <c r="M408" s="118" t="str">
        <f>IFERROR(VLOOKUP(K408,'[1]ABC Master Lists'!$AD$2:$AE$22,2,FALSE), " ")</f>
        <v xml:space="preserve"> </v>
      </c>
    </row>
    <row r="409" spans="4:13" x14ac:dyDescent="0.25">
      <c r="E409" s="24" t="s">
        <v>33</v>
      </c>
      <c r="F409" s="7">
        <v>0.25</v>
      </c>
      <c r="G409" s="32" t="s">
        <v>54</v>
      </c>
      <c r="H409" s="36" t="s">
        <v>57</v>
      </c>
      <c r="J409" s="79" t="str">
        <f>IFERROR(VLOOKUP(I409,'[1]ABC Master Lists'!$B$2:$I$346,4,FALSE)," ")</f>
        <v xml:space="preserve"> </v>
      </c>
      <c r="K409" s="79" t="str">
        <f>IFERROR(VLOOKUP(I409,'[1]ABC Master Lists'!$B$2:$I$346,8,FALSE)," ")</f>
        <v xml:space="preserve"> </v>
      </c>
      <c r="L409" s="118" t="str">
        <f>IFERROR(VLOOKUP(J409,'[1]ABC Master Lists'!$AQ$2:$AS$12,3,FALSE)," ")</f>
        <v xml:space="preserve"> </v>
      </c>
      <c r="M409" s="118" t="str">
        <f>IFERROR(VLOOKUP(K409,'[1]ABC Master Lists'!$AD$2:$AE$22,2,FALSE), " ")</f>
        <v xml:space="preserve"> </v>
      </c>
    </row>
    <row r="410" spans="4:13" x14ac:dyDescent="0.25">
      <c r="D410" s="28">
        <v>12</v>
      </c>
      <c r="E410" s="31" t="s">
        <v>6</v>
      </c>
      <c r="F410" s="20">
        <v>9</v>
      </c>
      <c r="G410" s="34" t="s">
        <v>7</v>
      </c>
      <c r="H410" s="38" t="s">
        <v>57</v>
      </c>
      <c r="I410" s="38">
        <v>18</v>
      </c>
      <c r="J410" s="83">
        <f>IFERROR(VLOOKUP(I410,'[1]ABC Master Lists'!$B$2:$I$346,4,FALSE)," ")</f>
        <v>20</v>
      </c>
      <c r="K410" s="83">
        <f>IFERROR(VLOOKUP(I410,'[1]ABC Master Lists'!$B$2:$I$346,8,FALSE)," ")</f>
        <v>7</v>
      </c>
      <c r="L410" s="122" t="str">
        <f>IFERROR(VLOOKUP(J410,'[1]ABC Master Lists'!$AQ$2:$AS$12,3,FALSE)," ")</f>
        <v>+</v>
      </c>
      <c r="M410" s="122" t="str">
        <f>IFERROR(VLOOKUP(K410,'[1]ABC Master Lists'!$AD$2:$AE$22,2,FALSE), " ")</f>
        <v>+</v>
      </c>
    </row>
    <row r="411" spans="4:13" x14ac:dyDescent="0.25">
      <c r="D411" s="29"/>
      <c r="E411" s="25" t="s">
        <v>33</v>
      </c>
      <c r="F411" s="179">
        <v>0.25</v>
      </c>
      <c r="G411" s="35" t="s">
        <v>54</v>
      </c>
      <c r="H411" s="39" t="s">
        <v>57</v>
      </c>
      <c r="I411" s="39"/>
      <c r="J411" s="82" t="str">
        <f>IFERROR(VLOOKUP(I411,'[1]ABC Master Lists'!$B$2:$I$346,4,FALSE)," ")</f>
        <v xml:space="preserve"> </v>
      </c>
      <c r="K411" s="82" t="str">
        <f>IFERROR(VLOOKUP(I411,'[1]ABC Master Lists'!$B$2:$I$346,8,FALSE)," ")</f>
        <v xml:space="preserve"> </v>
      </c>
      <c r="L411" s="121" t="str">
        <f>IFERROR(VLOOKUP(J411,'[1]ABC Master Lists'!$AQ$2:$AS$12,3,FALSE)," ")</f>
        <v xml:space="preserve"> </v>
      </c>
      <c r="M411" s="121" t="str">
        <f>IFERROR(VLOOKUP(K411,'[1]ABC Master Lists'!$AD$2:$AE$22,2,FALSE), " ")</f>
        <v xml:space="preserve"> </v>
      </c>
    </row>
    <row r="412" spans="4:13" x14ac:dyDescent="0.25">
      <c r="D412" s="26">
        <v>13</v>
      </c>
      <c r="E412" s="24" t="s">
        <v>84</v>
      </c>
      <c r="F412" s="4">
        <v>10</v>
      </c>
      <c r="G412" s="32" t="s">
        <v>7</v>
      </c>
      <c r="H412" s="36" t="s">
        <v>20</v>
      </c>
      <c r="I412" s="36">
        <v>238</v>
      </c>
      <c r="J412" s="79">
        <f>IFERROR(VLOOKUP(I412,'[1]ABC Master Lists'!$B$2:$I$346,4,FALSE)," ")</f>
        <v>261</v>
      </c>
      <c r="K412" s="79">
        <f>IFERROR(VLOOKUP(I412,'[1]ABC Master Lists'!$B$2:$I$346,8,FALSE)," ")</f>
        <v>8</v>
      </c>
      <c r="L412" s="118" t="str">
        <f>IFERROR(VLOOKUP(J412,'[1]ABC Master Lists'!$AQ$2:$AS$12,3,FALSE)," ")</f>
        <v xml:space="preserve"> </v>
      </c>
      <c r="M412" s="118" t="str">
        <f>IFERROR(VLOOKUP(K412,'[1]ABC Master Lists'!$AD$2:$AE$22,2,FALSE), " ")</f>
        <v>+</v>
      </c>
    </row>
    <row r="413" spans="4:13" x14ac:dyDescent="0.25">
      <c r="E413" s="24" t="s">
        <v>33</v>
      </c>
      <c r="F413" s="7">
        <v>0.25</v>
      </c>
      <c r="G413" s="32" t="s">
        <v>54</v>
      </c>
      <c r="H413" s="36" t="s">
        <v>20</v>
      </c>
      <c r="J413" s="79" t="str">
        <f>IFERROR(VLOOKUP(I413,'[1]ABC Master Lists'!$B$2:$I$346,4,FALSE)," ")</f>
        <v xml:space="preserve"> </v>
      </c>
      <c r="K413" s="79" t="str">
        <f>IFERROR(VLOOKUP(I413,'[1]ABC Master Lists'!$B$2:$I$346,8,FALSE)," ")</f>
        <v xml:space="preserve"> </v>
      </c>
      <c r="L413" s="118" t="str">
        <f>IFERROR(VLOOKUP(J413,'[1]ABC Master Lists'!$AQ$2:$AS$12,3,FALSE)," ")</f>
        <v xml:space="preserve"> </v>
      </c>
      <c r="M413" s="118" t="str">
        <f>IFERROR(VLOOKUP(K413,'[1]ABC Master Lists'!$AD$2:$AE$22,2,FALSE), " ")</f>
        <v xml:space="preserve"> </v>
      </c>
    </row>
    <row r="414" spans="4:13" x14ac:dyDescent="0.25">
      <c r="D414" s="28">
        <v>14</v>
      </c>
      <c r="E414" s="31" t="s">
        <v>15</v>
      </c>
      <c r="F414" s="20">
        <v>4</v>
      </c>
      <c r="G414" s="34" t="s">
        <v>7</v>
      </c>
      <c r="H414" s="38" t="s">
        <v>20</v>
      </c>
      <c r="I414" s="38">
        <v>73</v>
      </c>
      <c r="J414" s="83">
        <f>IFERROR(VLOOKUP(I414,'[1]ABC Master Lists'!$B$2:$I$346,4,FALSE)," ")</f>
        <v>26</v>
      </c>
      <c r="K414" s="83">
        <f>IFERROR(VLOOKUP(I414,'[1]ABC Master Lists'!$B$2:$I$346,8,FALSE)," ")</f>
        <v>8</v>
      </c>
      <c r="L414" s="122" t="str">
        <f>IFERROR(VLOOKUP(J414,'[1]ABC Master Lists'!$AQ$2:$AS$12,3,FALSE)," ")</f>
        <v>+</v>
      </c>
      <c r="M414" s="122" t="str">
        <f>IFERROR(VLOOKUP(K414,'[1]ABC Master Lists'!$AD$2:$AE$22,2,FALSE), " ")</f>
        <v>+</v>
      </c>
    </row>
    <row r="415" spans="4:13" x14ac:dyDescent="0.25">
      <c r="D415" s="29"/>
      <c r="E415" s="25" t="s">
        <v>33</v>
      </c>
      <c r="F415" s="179">
        <v>0.25</v>
      </c>
      <c r="G415" s="35" t="s">
        <v>54</v>
      </c>
      <c r="H415" s="39" t="s">
        <v>20</v>
      </c>
      <c r="I415" s="39"/>
      <c r="J415" s="82" t="str">
        <f>IFERROR(VLOOKUP(I415,'[1]ABC Master Lists'!$B$2:$I$346,4,FALSE)," ")</f>
        <v xml:space="preserve"> </v>
      </c>
      <c r="K415" s="82" t="str">
        <f>IFERROR(VLOOKUP(I415,'[1]ABC Master Lists'!$B$2:$I$346,8,FALSE)," ")</f>
        <v xml:space="preserve"> </v>
      </c>
      <c r="L415" s="121" t="str">
        <f>IFERROR(VLOOKUP(J415,'[1]ABC Master Lists'!$AQ$2:$AS$12,3,FALSE)," ")</f>
        <v xml:space="preserve"> </v>
      </c>
      <c r="M415" s="121" t="str">
        <f>IFERROR(VLOOKUP(K415,'[1]ABC Master Lists'!$AD$2:$AE$22,2,FALSE), " ")</f>
        <v xml:space="preserve"> </v>
      </c>
    </row>
    <row r="416" spans="4:13" x14ac:dyDescent="0.25">
      <c r="D416" s="26">
        <v>15</v>
      </c>
      <c r="E416" s="24" t="s">
        <v>10</v>
      </c>
      <c r="F416" s="4">
        <v>6</v>
      </c>
      <c r="G416" s="32" t="s">
        <v>11</v>
      </c>
      <c r="H416" s="36" t="s">
        <v>5</v>
      </c>
      <c r="I416" s="36">
        <v>87</v>
      </c>
      <c r="J416" s="79">
        <f>IFERROR(VLOOKUP(I416,'[1]ABC Master Lists'!$B$2:$I$346,4,FALSE)," ")</f>
        <v>4</v>
      </c>
      <c r="K416" s="79">
        <f>IFERROR(VLOOKUP(I416,'[1]ABC Master Lists'!$B$2:$I$346,8,FALSE)," ")</f>
        <v>6</v>
      </c>
      <c r="L416" s="118" t="str">
        <f>IFERROR(VLOOKUP(J416,'[1]ABC Master Lists'!$AQ$2:$AS$12,3,FALSE)," ")</f>
        <v>+</v>
      </c>
      <c r="M416" s="118" t="str">
        <f>IFERROR(VLOOKUP(K416,'[1]ABC Master Lists'!$AD$2:$AE$22,2,FALSE), " ")</f>
        <v>+</v>
      </c>
    </row>
    <row r="417" spans="4:13" x14ac:dyDescent="0.25">
      <c r="E417" s="24" t="s">
        <v>33</v>
      </c>
      <c r="F417" s="7">
        <v>0.25</v>
      </c>
      <c r="G417" s="32" t="s">
        <v>54</v>
      </c>
      <c r="H417" s="36" t="s">
        <v>5</v>
      </c>
      <c r="J417" s="79" t="str">
        <f>IFERROR(VLOOKUP(I417,'[1]ABC Master Lists'!$B$2:$I$346,4,FALSE)," ")</f>
        <v xml:space="preserve"> </v>
      </c>
      <c r="K417" s="79" t="str">
        <f>IFERROR(VLOOKUP(I417,'[1]ABC Master Lists'!$B$2:$I$346,8,FALSE)," ")</f>
        <v xml:space="preserve"> </v>
      </c>
      <c r="L417" s="118" t="str">
        <f>IFERROR(VLOOKUP(J417,'[1]ABC Master Lists'!$AQ$2:$AS$12,3,FALSE)," ")</f>
        <v xml:space="preserve"> </v>
      </c>
      <c r="M417" s="118" t="str">
        <f>IFERROR(VLOOKUP(K417,'[1]ABC Master Lists'!$AD$2:$AE$22,2,FALSE), " ")</f>
        <v xml:space="preserve"> </v>
      </c>
    </row>
    <row r="418" spans="4:13" x14ac:dyDescent="0.25">
      <c r="D418" s="28">
        <v>16</v>
      </c>
      <c r="E418" s="31" t="s">
        <v>10</v>
      </c>
      <c r="F418" s="20">
        <v>8</v>
      </c>
      <c r="G418" s="34" t="s">
        <v>11</v>
      </c>
      <c r="H418" s="38" t="s">
        <v>5</v>
      </c>
      <c r="I418" s="38">
        <v>90</v>
      </c>
      <c r="J418" s="83">
        <f>IFERROR(VLOOKUP(I418,'[1]ABC Master Lists'!$B$2:$I$346,4,FALSE)," ")</f>
        <v>4</v>
      </c>
      <c r="K418" s="83">
        <f>IFERROR(VLOOKUP(I418,'[1]ABC Master Lists'!$B$2:$I$346,8,FALSE)," ")</f>
        <v>6</v>
      </c>
      <c r="L418" s="122" t="str">
        <f>IFERROR(VLOOKUP(J418,'[1]ABC Master Lists'!$AQ$2:$AS$12,3,FALSE)," ")</f>
        <v>+</v>
      </c>
      <c r="M418" s="122" t="str">
        <f>IFERROR(VLOOKUP(K418,'[1]ABC Master Lists'!$AD$2:$AE$22,2,FALSE), " ")</f>
        <v>+</v>
      </c>
    </row>
    <row r="419" spans="4:13" x14ac:dyDescent="0.25">
      <c r="D419" s="29"/>
      <c r="E419" s="25" t="s">
        <v>33</v>
      </c>
      <c r="F419" s="179">
        <v>0.25</v>
      </c>
      <c r="G419" s="35" t="s">
        <v>54</v>
      </c>
      <c r="H419" s="39" t="s">
        <v>5</v>
      </c>
      <c r="I419" s="39"/>
      <c r="J419" s="82" t="str">
        <f>IFERROR(VLOOKUP(I419,'[1]ABC Master Lists'!$B$2:$I$346,4,FALSE)," ")</f>
        <v xml:space="preserve"> </v>
      </c>
      <c r="K419" s="82" t="str">
        <f>IFERROR(VLOOKUP(I419,'[1]ABC Master Lists'!$B$2:$I$346,8,FALSE)," ")</f>
        <v xml:space="preserve"> </v>
      </c>
      <c r="L419" s="121" t="str">
        <f>IFERROR(VLOOKUP(J419,'[1]ABC Master Lists'!$AQ$2:$AS$12,3,FALSE)," ")</f>
        <v xml:space="preserve"> </v>
      </c>
      <c r="M419" s="121" t="str">
        <f>IFERROR(VLOOKUP(K419,'[1]ABC Master Lists'!$AD$2:$AE$22,2,FALSE), " ")</f>
        <v xml:space="preserve"> </v>
      </c>
    </row>
    <row r="420" spans="4:13" x14ac:dyDescent="0.25">
      <c r="D420" s="26">
        <v>17</v>
      </c>
      <c r="E420" s="24" t="s">
        <v>18</v>
      </c>
      <c r="F420" s="4">
        <v>6</v>
      </c>
      <c r="G420" s="32" t="s">
        <v>7</v>
      </c>
      <c r="H420" s="36" t="s">
        <v>5</v>
      </c>
      <c r="I420" s="36">
        <v>65</v>
      </c>
      <c r="J420" s="79">
        <f>IFERROR(VLOOKUP(I420,'[1]ABC Master Lists'!$B$2:$I$346,4,FALSE)," ")</f>
        <v>184</v>
      </c>
      <c r="K420" s="79">
        <f>IFERROR(VLOOKUP(I420,'[1]ABC Master Lists'!$B$2:$I$346,8,FALSE)," ")</f>
        <v>6</v>
      </c>
      <c r="L420" s="118" t="str">
        <f>IFERROR(VLOOKUP(J420,'[1]ABC Master Lists'!$AQ$2:$AS$12,3,FALSE)," ")</f>
        <v xml:space="preserve"> </v>
      </c>
      <c r="M420" s="118" t="str">
        <f>IFERROR(VLOOKUP(K420,'[1]ABC Master Lists'!$AD$2:$AE$22,2,FALSE), " ")</f>
        <v>+</v>
      </c>
    </row>
    <row r="421" spans="4:13" x14ac:dyDescent="0.25">
      <c r="E421" s="24" t="s">
        <v>10</v>
      </c>
      <c r="F421" s="177">
        <v>8</v>
      </c>
      <c r="G421" s="32" t="s">
        <v>11</v>
      </c>
      <c r="H421" s="36" t="s">
        <v>5</v>
      </c>
      <c r="J421" s="79" t="str">
        <f>IFERROR(VLOOKUP(I421,'[1]ABC Master Lists'!$B$2:$I$346,4,FALSE)," ")</f>
        <v xml:space="preserve"> </v>
      </c>
      <c r="K421" s="79" t="str">
        <f>IFERROR(VLOOKUP(I421,'[1]ABC Master Lists'!$B$2:$I$346,8,FALSE)," ")</f>
        <v xml:space="preserve"> </v>
      </c>
      <c r="L421" s="118" t="str">
        <f>IFERROR(VLOOKUP(J421,'[1]ABC Master Lists'!$AQ$2:$AS$12,3,FALSE)," ")</f>
        <v xml:space="preserve"> </v>
      </c>
      <c r="M421" s="118" t="str">
        <f>IFERROR(VLOOKUP(K421,'[1]ABC Master Lists'!$AD$2:$AE$22,2,FALSE), " ")</f>
        <v xml:space="preserve"> </v>
      </c>
    </row>
    <row r="422" spans="4:13" x14ac:dyDescent="0.25">
      <c r="E422" s="24" t="s">
        <v>33</v>
      </c>
      <c r="F422" s="7">
        <v>0.25</v>
      </c>
      <c r="G422" s="32" t="s">
        <v>54</v>
      </c>
      <c r="H422" s="36" t="s">
        <v>5</v>
      </c>
      <c r="J422" s="79" t="str">
        <f>IFERROR(VLOOKUP(I422,'[1]ABC Master Lists'!$B$2:$I$346,4,FALSE)," ")</f>
        <v xml:space="preserve"> </v>
      </c>
      <c r="K422" s="79" t="str">
        <f>IFERROR(VLOOKUP(I422,'[1]ABC Master Lists'!$B$2:$I$346,8,FALSE)," ")</f>
        <v xml:space="preserve"> </v>
      </c>
      <c r="L422" s="118" t="str">
        <f>IFERROR(VLOOKUP(J422,'[1]ABC Master Lists'!$AQ$2:$AS$12,3,FALSE)," ")</f>
        <v xml:space="preserve"> </v>
      </c>
      <c r="M422" s="118" t="str">
        <f>IFERROR(VLOOKUP(K422,'[1]ABC Master Lists'!$AD$2:$AE$22,2,FALSE), " ")</f>
        <v xml:space="preserve"> </v>
      </c>
    </row>
    <row r="423" spans="4:13" x14ac:dyDescent="0.25">
      <c r="D423" s="28">
        <v>18</v>
      </c>
      <c r="E423" s="31" t="s">
        <v>10</v>
      </c>
      <c r="F423" s="180">
        <v>6</v>
      </c>
      <c r="G423" s="34" t="s">
        <v>11</v>
      </c>
      <c r="H423" s="38" t="s">
        <v>5</v>
      </c>
      <c r="I423" s="38">
        <v>101</v>
      </c>
      <c r="J423" s="83">
        <f>IFERROR(VLOOKUP(I423,'[1]ABC Master Lists'!$B$2:$I$346,4,FALSE)," ")</f>
        <v>41624</v>
      </c>
      <c r="K423" s="83">
        <f>IFERROR(VLOOKUP(I423,'[1]ABC Master Lists'!$B$2:$I$346,8,FALSE)," ")</f>
        <v>6</v>
      </c>
      <c r="L423" s="122" t="str">
        <f>IFERROR(VLOOKUP(J423,'[1]ABC Master Lists'!$AQ$2:$AS$12,3,FALSE)," ")</f>
        <v>+</v>
      </c>
      <c r="M423" s="122" t="str">
        <f>IFERROR(VLOOKUP(K423,'[1]ABC Master Lists'!$AD$2:$AE$22,2,FALSE), " ")</f>
        <v>+</v>
      </c>
    </row>
    <row r="424" spans="4:13" x14ac:dyDescent="0.25">
      <c r="E424" s="24" t="s">
        <v>44</v>
      </c>
      <c r="F424" s="4">
        <v>4</v>
      </c>
      <c r="G424" s="32" t="s">
        <v>7</v>
      </c>
      <c r="H424" s="36" t="s">
        <v>5</v>
      </c>
      <c r="J424" s="79" t="str">
        <f>IFERROR(VLOOKUP(I424,'[1]ABC Master Lists'!$B$2:$I$346,4,FALSE)," ")</f>
        <v xml:space="preserve"> </v>
      </c>
      <c r="K424" s="79" t="str">
        <f>IFERROR(VLOOKUP(I424,'[1]ABC Master Lists'!$B$2:$I$346,8,FALSE)," ")</f>
        <v xml:space="preserve"> </v>
      </c>
      <c r="L424" s="118" t="str">
        <f>IFERROR(VLOOKUP(J424,'[1]ABC Master Lists'!$AQ$2:$AS$12,3,FALSE)," ")</f>
        <v xml:space="preserve"> </v>
      </c>
      <c r="M424" s="118" t="str">
        <f>IFERROR(VLOOKUP(K424,'[1]ABC Master Lists'!$AD$2:$AE$22,2,FALSE), " ")</f>
        <v xml:space="preserve"> </v>
      </c>
    </row>
    <row r="425" spans="4:13" x14ac:dyDescent="0.25">
      <c r="D425" s="29"/>
      <c r="E425" s="25" t="s">
        <v>33</v>
      </c>
      <c r="F425" s="179">
        <v>0.25</v>
      </c>
      <c r="G425" s="35" t="s">
        <v>54</v>
      </c>
      <c r="H425" s="39" t="s">
        <v>5</v>
      </c>
      <c r="I425" s="39"/>
      <c r="J425" s="82" t="str">
        <f>IFERROR(VLOOKUP(I425,'[1]ABC Master Lists'!$B$2:$I$346,4,FALSE)," ")</f>
        <v xml:space="preserve"> </v>
      </c>
      <c r="K425" s="82" t="str">
        <f>IFERROR(VLOOKUP(I425,'[1]ABC Master Lists'!$B$2:$I$346,8,FALSE)," ")</f>
        <v xml:space="preserve"> </v>
      </c>
      <c r="L425" s="121" t="str">
        <f>IFERROR(VLOOKUP(J425,'[1]ABC Master Lists'!$AQ$2:$AS$12,3,FALSE)," ")</f>
        <v xml:space="preserve"> </v>
      </c>
      <c r="M425" s="121" t="str">
        <f>IFERROR(VLOOKUP(K425,'[1]ABC Master Lists'!$AD$2:$AE$22,2,FALSE), " ")</f>
        <v xml:space="preserve"> </v>
      </c>
    </row>
    <row r="426" spans="4:13" x14ac:dyDescent="0.25">
      <c r="D426" s="26">
        <v>19</v>
      </c>
      <c r="E426" s="24" t="s">
        <v>10</v>
      </c>
      <c r="F426" s="4">
        <v>6</v>
      </c>
      <c r="G426" s="32" t="s">
        <v>11</v>
      </c>
      <c r="H426" s="36" t="s">
        <v>5</v>
      </c>
      <c r="I426" s="36">
        <v>102</v>
      </c>
      <c r="J426" s="79">
        <f>IFERROR(VLOOKUP(I426,'[1]ABC Master Lists'!$B$2:$I$346,4,FALSE)," ")</f>
        <v>41624</v>
      </c>
      <c r="K426" s="79">
        <f>IFERROR(VLOOKUP(I426,'[1]ABC Master Lists'!$B$2:$I$346,8,FALSE)," ")</f>
        <v>68</v>
      </c>
      <c r="L426" s="118" t="str">
        <f>IFERROR(VLOOKUP(J426,'[1]ABC Master Lists'!$AQ$2:$AS$12,3,FALSE)," ")</f>
        <v>+</v>
      </c>
      <c r="M426" s="118" t="str">
        <f>IFERROR(VLOOKUP(K426,'[1]ABC Master Lists'!$AD$2:$AE$22,2,FALSE), " ")</f>
        <v>+</v>
      </c>
    </row>
    <row r="427" spans="4:13" x14ac:dyDescent="0.25">
      <c r="E427" s="24" t="s">
        <v>33</v>
      </c>
      <c r="F427" s="7">
        <v>0.25</v>
      </c>
      <c r="G427" s="32" t="s">
        <v>54</v>
      </c>
      <c r="H427" s="36" t="s">
        <v>5</v>
      </c>
      <c r="J427" s="79" t="str">
        <f>IFERROR(VLOOKUP(I427,'[1]ABC Master Lists'!$B$2:$I$346,4,FALSE)," ")</f>
        <v xml:space="preserve"> </v>
      </c>
      <c r="K427" s="79" t="str">
        <f>IFERROR(VLOOKUP(I427,'[1]ABC Master Lists'!$B$2:$I$346,8,FALSE)," ")</f>
        <v xml:space="preserve"> </v>
      </c>
      <c r="L427" s="118" t="str">
        <f>IFERROR(VLOOKUP(J427,'[1]ABC Master Lists'!$AQ$2:$AS$12,3,FALSE)," ")</f>
        <v xml:space="preserve"> </v>
      </c>
      <c r="M427" s="118" t="str">
        <f>IFERROR(VLOOKUP(K427,'[1]ABC Master Lists'!$AD$2:$AE$22,2,FALSE), " ")</f>
        <v xml:space="preserve"> </v>
      </c>
    </row>
    <row r="428" spans="4:13" x14ac:dyDescent="0.25">
      <c r="E428" s="24" t="s">
        <v>44</v>
      </c>
      <c r="F428" s="4">
        <v>4</v>
      </c>
      <c r="G428" s="32" t="s">
        <v>7</v>
      </c>
      <c r="H428" s="36" t="s">
        <v>20</v>
      </c>
      <c r="J428" s="79" t="str">
        <f>IFERROR(VLOOKUP(I428,'[1]ABC Master Lists'!$B$2:$I$346,4,FALSE)," ")</f>
        <v xml:space="preserve"> </v>
      </c>
      <c r="K428" s="79" t="str">
        <f>IFERROR(VLOOKUP(I428,'[1]ABC Master Lists'!$B$2:$I$346,8,FALSE)," ")</f>
        <v xml:space="preserve"> </v>
      </c>
      <c r="L428" s="118" t="str">
        <f>IFERROR(VLOOKUP(J428,'[1]ABC Master Lists'!$AQ$2:$AS$12,3,FALSE)," ")</f>
        <v xml:space="preserve"> </v>
      </c>
      <c r="M428" s="118" t="str">
        <f>IFERROR(VLOOKUP(K428,'[1]ABC Master Lists'!$AD$2:$AE$22,2,FALSE), " ")</f>
        <v xml:space="preserve"> </v>
      </c>
    </row>
    <row r="429" spans="4:13" x14ac:dyDescent="0.25">
      <c r="E429" s="24" t="s">
        <v>33</v>
      </c>
      <c r="F429" s="7">
        <v>0.25</v>
      </c>
      <c r="G429" s="32" t="s">
        <v>54</v>
      </c>
      <c r="H429" s="36" t="s">
        <v>20</v>
      </c>
      <c r="J429" s="79" t="str">
        <f>IFERROR(VLOOKUP(I429,'[1]ABC Master Lists'!$B$2:$I$346,4,FALSE)," ")</f>
        <v xml:space="preserve"> </v>
      </c>
      <c r="K429" s="79" t="str">
        <f>IFERROR(VLOOKUP(I429,'[1]ABC Master Lists'!$B$2:$I$346,8,FALSE)," ")</f>
        <v xml:space="preserve"> </v>
      </c>
      <c r="L429" s="118" t="str">
        <f>IFERROR(VLOOKUP(J429,'[1]ABC Master Lists'!$AQ$2:$AS$12,3,FALSE)," ")</f>
        <v xml:space="preserve"> </v>
      </c>
      <c r="M429" s="118" t="str">
        <f>IFERROR(VLOOKUP(K429,'[1]ABC Master Lists'!$AD$2:$AE$22,2,FALSE), " ")</f>
        <v xml:space="preserve"> </v>
      </c>
    </row>
    <row r="430" spans="4:13" x14ac:dyDescent="0.25">
      <c r="D430" s="28">
        <v>20</v>
      </c>
      <c r="E430" s="31" t="s">
        <v>6</v>
      </c>
      <c r="F430" s="20">
        <v>9</v>
      </c>
      <c r="G430" s="34" t="s">
        <v>7</v>
      </c>
      <c r="H430" s="38" t="s">
        <v>20</v>
      </c>
      <c r="I430" s="38">
        <v>19</v>
      </c>
      <c r="J430" s="83">
        <f>IFERROR(VLOOKUP(I430,'[1]ABC Master Lists'!$B$2:$I$346,4,FALSE)," ")</f>
        <v>20</v>
      </c>
      <c r="K430" s="83">
        <f>IFERROR(VLOOKUP(I430,'[1]ABC Master Lists'!$B$2:$I$346,8,FALSE)," ")</f>
        <v>8</v>
      </c>
      <c r="L430" s="122" t="str">
        <f>IFERROR(VLOOKUP(J430,'[1]ABC Master Lists'!$AQ$2:$AS$12,3,FALSE)," ")</f>
        <v>+</v>
      </c>
      <c r="M430" s="122" t="str">
        <f>IFERROR(VLOOKUP(K430,'[1]ABC Master Lists'!$AD$2:$AE$22,2,FALSE), " ")</f>
        <v>+</v>
      </c>
    </row>
    <row r="431" spans="4:13" x14ac:dyDescent="0.25">
      <c r="D431" s="29"/>
      <c r="E431" s="25" t="s">
        <v>33</v>
      </c>
      <c r="F431" s="179">
        <v>0.25</v>
      </c>
      <c r="G431" s="35" t="s">
        <v>54</v>
      </c>
      <c r="H431" s="39" t="s">
        <v>20</v>
      </c>
      <c r="I431" s="39"/>
      <c r="J431" s="82" t="str">
        <f>IFERROR(VLOOKUP(I431,'[1]ABC Master Lists'!$B$2:$I$346,4,FALSE)," ")</f>
        <v xml:space="preserve"> </v>
      </c>
      <c r="K431" s="82" t="str">
        <f>IFERROR(VLOOKUP(I431,'[1]ABC Master Lists'!$B$2:$I$346,8,FALSE)," ")</f>
        <v xml:space="preserve"> </v>
      </c>
      <c r="L431" s="121" t="str">
        <f>IFERROR(VLOOKUP(J431,'[1]ABC Master Lists'!$AQ$2:$AS$12,3,FALSE)," ")</f>
        <v xml:space="preserve"> </v>
      </c>
      <c r="M431" s="121" t="str">
        <f>IFERROR(VLOOKUP(K431,'[1]ABC Master Lists'!$AD$2:$AE$22,2,FALSE), " ")</f>
        <v xml:space="preserve"> </v>
      </c>
    </row>
    <row r="432" spans="4:13" x14ac:dyDescent="0.25">
      <c r="D432" s="26">
        <v>21</v>
      </c>
      <c r="E432" s="24" t="s">
        <v>10</v>
      </c>
      <c r="F432" s="4">
        <v>8</v>
      </c>
      <c r="G432" s="32" t="s">
        <v>11</v>
      </c>
      <c r="H432" s="36" t="s">
        <v>20</v>
      </c>
      <c r="I432" s="36">
        <v>92</v>
      </c>
      <c r="J432" s="79">
        <f>IFERROR(VLOOKUP(I432,'[1]ABC Master Lists'!$B$2:$I$346,4,FALSE)," ")</f>
        <v>4</v>
      </c>
      <c r="K432" s="79">
        <f>IFERROR(VLOOKUP(I432,'[1]ABC Master Lists'!$B$2:$I$346,8,FALSE)," ")</f>
        <v>8</v>
      </c>
      <c r="L432" s="118" t="str">
        <f>IFERROR(VLOOKUP(J432,'[1]ABC Master Lists'!$AQ$2:$AS$12,3,FALSE)," ")</f>
        <v>+</v>
      </c>
      <c r="M432" s="118" t="str">
        <f>IFERROR(VLOOKUP(K432,'[1]ABC Master Lists'!$AD$2:$AE$22,2,FALSE), " ")</f>
        <v>+</v>
      </c>
    </row>
    <row r="433" spans="1:13" x14ac:dyDescent="0.25">
      <c r="E433" s="24" t="s">
        <v>33</v>
      </c>
      <c r="F433" s="7">
        <v>0.25</v>
      </c>
      <c r="G433" s="32" t="s">
        <v>54</v>
      </c>
      <c r="H433" s="36" t="s">
        <v>20</v>
      </c>
      <c r="J433" s="79" t="str">
        <f>IFERROR(VLOOKUP(I433,'[1]ABC Master Lists'!$B$2:$I$346,4,FALSE)," ")</f>
        <v xml:space="preserve"> </v>
      </c>
      <c r="K433" s="79" t="str">
        <f>IFERROR(VLOOKUP(I433,'[1]ABC Master Lists'!$B$2:$I$346,8,FALSE)," ")</f>
        <v xml:space="preserve"> </v>
      </c>
      <c r="L433" s="118" t="str">
        <f>IFERROR(VLOOKUP(J433,'[1]ABC Master Lists'!$AQ$2:$AS$12,3,FALSE)," ")</f>
        <v xml:space="preserve"> </v>
      </c>
      <c r="M433" s="118" t="str">
        <f>IFERROR(VLOOKUP(K433,'[1]ABC Master Lists'!$AD$2:$AE$22,2,FALSE), " ")</f>
        <v xml:space="preserve"> </v>
      </c>
    </row>
    <row r="434" spans="1:13" x14ac:dyDescent="0.25">
      <c r="A434" s="31">
        <v>2015</v>
      </c>
      <c r="B434" s="31" t="s">
        <v>166</v>
      </c>
      <c r="C434" s="31">
        <v>1</v>
      </c>
      <c r="D434" s="27">
        <v>1</v>
      </c>
      <c r="E434" s="30" t="s">
        <v>79</v>
      </c>
      <c r="F434" s="17" t="s">
        <v>2</v>
      </c>
      <c r="G434" s="33" t="s">
        <v>2</v>
      </c>
      <c r="H434" s="37" t="s">
        <v>2</v>
      </c>
      <c r="I434" s="37">
        <v>1</v>
      </c>
      <c r="J434" s="81" t="str">
        <f>IFERROR(VLOOKUP(I434,'[1]ABC Master Lists'!$B$2:$I$346,4,FALSE)," ")</f>
        <v>.</v>
      </c>
      <c r="K434" s="81" t="str">
        <f>IFERROR(VLOOKUP(I434,'[1]ABC Master Lists'!$B$2:$I$346,8,FALSE)," ")</f>
        <v>.</v>
      </c>
      <c r="L434" s="120" t="str">
        <f>IFERROR(VLOOKUP(J434,'[1]ABC Master Lists'!$AQ$2:$AS$12,3,FALSE)," ")</f>
        <v>+</v>
      </c>
      <c r="M434" s="120" t="str">
        <f>IFERROR(VLOOKUP(K434,'[1]ABC Master Lists'!$AD$2:$AE$22,2,FALSE), " ")</f>
        <v>+</v>
      </c>
    </row>
    <row r="435" spans="1:13" x14ac:dyDescent="0.25">
      <c r="D435" s="26">
        <v>2</v>
      </c>
      <c r="E435" s="24" t="s">
        <v>60</v>
      </c>
      <c r="F435" s="4">
        <v>21</v>
      </c>
      <c r="G435" s="32" t="s">
        <v>7</v>
      </c>
      <c r="H435" s="36" t="s">
        <v>5</v>
      </c>
      <c r="I435" s="36">
        <v>42</v>
      </c>
      <c r="J435" s="79">
        <f>IFERROR(VLOOKUP(I435,'[1]ABC Master Lists'!$B$2:$I$346,4,FALSE)," ")</f>
        <v>28</v>
      </c>
      <c r="K435" s="79">
        <f>IFERROR(VLOOKUP(I435,'[1]ABC Master Lists'!$B$2:$I$346,8,FALSE)," ")</f>
        <v>6</v>
      </c>
      <c r="L435" s="118" t="str">
        <f>IFERROR(VLOOKUP(J435,'[1]ABC Master Lists'!$AQ$2:$AS$12,3,FALSE)," ")</f>
        <v>+</v>
      </c>
      <c r="M435" s="118" t="str">
        <f>IFERROR(VLOOKUP(K435,'[1]ABC Master Lists'!$AD$2:$AE$22,2,FALSE), " ")</f>
        <v>+</v>
      </c>
    </row>
    <row r="436" spans="1:13" x14ac:dyDescent="0.25">
      <c r="D436" s="28">
        <v>3</v>
      </c>
      <c r="E436" s="31" t="s">
        <v>60</v>
      </c>
      <c r="F436" s="20">
        <v>21</v>
      </c>
      <c r="G436" s="34" t="s">
        <v>7</v>
      </c>
      <c r="H436" s="38" t="s">
        <v>5</v>
      </c>
      <c r="I436" s="38">
        <v>239</v>
      </c>
      <c r="J436" s="83">
        <f>IFERROR(VLOOKUP(I436,'[1]ABC Master Lists'!$B$2:$I$346,4,FALSE)," ")</f>
        <v>2815</v>
      </c>
      <c r="K436" s="83">
        <f>IFERROR(VLOOKUP(I436,'[1]ABC Master Lists'!$B$2:$I$346,8,FALSE)," ")</f>
        <v>6</v>
      </c>
      <c r="L436" s="122" t="str">
        <f>IFERROR(VLOOKUP(J436,'[1]ABC Master Lists'!$AQ$2:$AS$12,3,FALSE)," ")</f>
        <v xml:space="preserve"> </v>
      </c>
      <c r="M436" s="122" t="str">
        <f>IFERROR(VLOOKUP(K436,'[1]ABC Master Lists'!$AD$2:$AE$22,2,FALSE), " ")</f>
        <v>+</v>
      </c>
    </row>
    <row r="437" spans="1:13" x14ac:dyDescent="0.25">
      <c r="D437" s="29"/>
      <c r="E437" s="25" t="s">
        <v>36</v>
      </c>
      <c r="F437" s="23">
        <v>7</v>
      </c>
      <c r="G437" s="35" t="s">
        <v>7</v>
      </c>
      <c r="H437" s="39" t="s">
        <v>5</v>
      </c>
      <c r="I437" s="39"/>
      <c r="J437" s="82" t="str">
        <f>IFERROR(VLOOKUP(I437,'[1]ABC Master Lists'!$B$2:$I$346,4,FALSE)," ")</f>
        <v xml:space="preserve"> </v>
      </c>
      <c r="K437" s="82" t="str">
        <f>IFERROR(VLOOKUP(I437,'[1]ABC Master Lists'!$B$2:$I$346,8,FALSE)," ")</f>
        <v xml:space="preserve"> </v>
      </c>
      <c r="L437" s="121" t="str">
        <f>IFERROR(VLOOKUP(J437,'[1]ABC Master Lists'!$AQ$2:$AS$12,3,FALSE)," ")</f>
        <v xml:space="preserve"> </v>
      </c>
      <c r="M437" s="121" t="str">
        <f>IFERROR(VLOOKUP(K437,'[1]ABC Master Lists'!$AD$2:$AE$22,2,FALSE), " ")</f>
        <v xml:space="preserve"> </v>
      </c>
    </row>
    <row r="438" spans="1:13" x14ac:dyDescent="0.25">
      <c r="D438" s="26">
        <v>4</v>
      </c>
      <c r="E438" s="24" t="s">
        <v>60</v>
      </c>
      <c r="F438" s="4">
        <v>21</v>
      </c>
      <c r="G438" s="32" t="s">
        <v>7</v>
      </c>
      <c r="H438" s="36" t="s">
        <v>5</v>
      </c>
      <c r="I438" s="36">
        <v>47</v>
      </c>
      <c r="J438" s="79">
        <f>IFERROR(VLOOKUP(I438,'[1]ABC Master Lists'!$B$2:$I$346,4,FALSE)," ")</f>
        <v>2815</v>
      </c>
      <c r="K438" s="79">
        <f>IFERROR(VLOOKUP(I438,'[1]ABC Master Lists'!$B$2:$I$346,8,FALSE)," ")</f>
        <v>6</v>
      </c>
      <c r="L438" s="118" t="str">
        <f>IFERROR(VLOOKUP(J438,'[1]ABC Master Lists'!$AQ$2:$AS$12,3,FALSE)," ")</f>
        <v xml:space="preserve"> </v>
      </c>
      <c r="M438" s="118" t="str">
        <f>IFERROR(VLOOKUP(K438,'[1]ABC Master Lists'!$AD$2:$AE$22,2,FALSE), " ")</f>
        <v>+</v>
      </c>
    </row>
    <row r="439" spans="1:13" x14ac:dyDescent="0.25">
      <c r="E439" s="24" t="s">
        <v>36</v>
      </c>
      <c r="F439" s="4">
        <v>10</v>
      </c>
      <c r="G439" s="32" t="s">
        <v>7</v>
      </c>
      <c r="H439" s="36" t="s">
        <v>5</v>
      </c>
      <c r="J439" s="79" t="str">
        <f>IFERROR(VLOOKUP(I439,'[1]ABC Master Lists'!$B$2:$I$346,4,FALSE)," ")</f>
        <v xml:space="preserve"> </v>
      </c>
      <c r="K439" s="79" t="str">
        <f>IFERROR(VLOOKUP(I439,'[1]ABC Master Lists'!$B$2:$I$346,8,FALSE)," ")</f>
        <v xml:space="preserve"> </v>
      </c>
      <c r="L439" s="118" t="str">
        <f>IFERROR(VLOOKUP(J439,'[1]ABC Master Lists'!$AQ$2:$AS$12,3,FALSE)," ")</f>
        <v xml:space="preserve"> </v>
      </c>
      <c r="M439" s="118" t="str">
        <f>IFERROR(VLOOKUP(K439,'[1]ABC Master Lists'!$AD$2:$AE$22,2,FALSE), " ")</f>
        <v xml:space="preserve"> </v>
      </c>
    </row>
    <row r="440" spans="1:13" x14ac:dyDescent="0.25">
      <c r="D440" s="27">
        <v>5</v>
      </c>
      <c r="E440" s="30" t="s">
        <v>48</v>
      </c>
      <c r="F440" s="17">
        <v>5</v>
      </c>
      <c r="G440" s="33" t="s">
        <v>7</v>
      </c>
      <c r="H440" s="37" t="s">
        <v>5</v>
      </c>
      <c r="I440" s="37">
        <v>106</v>
      </c>
      <c r="J440" s="81">
        <f>IFERROR(VLOOKUP(I440,'[1]ABC Master Lists'!$B$2:$I$346,4,FALSE)," ")</f>
        <v>1415</v>
      </c>
      <c r="K440" s="81">
        <f>IFERROR(VLOOKUP(I440,'[1]ABC Master Lists'!$B$2:$I$346,8,FALSE)," ")</f>
        <v>6</v>
      </c>
      <c r="L440" s="120" t="str">
        <f>IFERROR(VLOOKUP(J440,'[1]ABC Master Lists'!$AQ$2:$AS$12,3,FALSE)," ")</f>
        <v>+</v>
      </c>
      <c r="M440" s="120" t="str">
        <f>IFERROR(VLOOKUP(K440,'[1]ABC Master Lists'!$AD$2:$AE$22,2,FALSE), " ")</f>
        <v>+</v>
      </c>
    </row>
    <row r="441" spans="1:13" x14ac:dyDescent="0.25">
      <c r="D441" s="26">
        <v>6</v>
      </c>
      <c r="E441" s="24" t="s">
        <v>48</v>
      </c>
      <c r="F441" s="4">
        <v>5</v>
      </c>
      <c r="G441" s="32" t="s">
        <v>7</v>
      </c>
      <c r="H441" s="36" t="s">
        <v>20</v>
      </c>
      <c r="I441" s="36">
        <v>108</v>
      </c>
      <c r="J441" s="79">
        <f>IFERROR(VLOOKUP(I441,'[1]ABC Master Lists'!$B$2:$I$346,4,FALSE)," ")</f>
        <v>1415</v>
      </c>
      <c r="K441" s="79">
        <f>IFERROR(VLOOKUP(I441,'[1]ABC Master Lists'!$B$2:$I$346,8,FALSE)," ")</f>
        <v>8</v>
      </c>
      <c r="L441" s="118" t="str">
        <f>IFERROR(VLOOKUP(J441,'[1]ABC Master Lists'!$AQ$2:$AS$12,3,FALSE)," ")</f>
        <v>+</v>
      </c>
      <c r="M441" s="118" t="str">
        <f>IFERROR(VLOOKUP(K441,'[1]ABC Master Lists'!$AD$2:$AE$22,2,FALSE), " ")</f>
        <v>+</v>
      </c>
    </row>
    <row r="442" spans="1:13" x14ac:dyDescent="0.25">
      <c r="D442" s="27">
        <v>7</v>
      </c>
      <c r="E442" s="30" t="s">
        <v>28</v>
      </c>
      <c r="F442" s="17">
        <v>4</v>
      </c>
      <c r="G442" s="33" t="s">
        <v>7</v>
      </c>
      <c r="H442" s="37" t="s">
        <v>20</v>
      </c>
      <c r="I442" s="37">
        <v>200</v>
      </c>
      <c r="J442" s="81">
        <f>IFERROR(VLOOKUP(I442,'[1]ABC Master Lists'!$B$2:$I$346,4,FALSE)," ")</f>
        <v>2229</v>
      </c>
      <c r="K442" s="81">
        <f>IFERROR(VLOOKUP(I442,'[1]ABC Master Lists'!$B$2:$I$346,8,FALSE)," ")</f>
        <v>8</v>
      </c>
      <c r="L442" s="120" t="str">
        <f>IFERROR(VLOOKUP(J442,'[1]ABC Master Lists'!$AQ$2:$AS$12,3,FALSE)," ")</f>
        <v>+</v>
      </c>
      <c r="M442" s="120" t="str">
        <f>IFERROR(VLOOKUP(K442,'[1]ABC Master Lists'!$AD$2:$AE$22,2,FALSE), " ")</f>
        <v>+</v>
      </c>
    </row>
    <row r="443" spans="1:13" x14ac:dyDescent="0.25">
      <c r="D443" s="26">
        <v>8</v>
      </c>
      <c r="E443" s="24" t="s">
        <v>82</v>
      </c>
      <c r="F443" s="4">
        <v>8</v>
      </c>
      <c r="G443" s="32" t="s">
        <v>7</v>
      </c>
      <c r="H443" s="36" t="s">
        <v>5</v>
      </c>
      <c r="I443" s="36">
        <v>177</v>
      </c>
      <c r="J443" s="79">
        <f>IFERROR(VLOOKUP(I443,'[1]ABC Master Lists'!$B$2:$I$346,4,FALSE)," ")</f>
        <v>142229</v>
      </c>
      <c r="K443" s="79">
        <f>IFERROR(VLOOKUP(I443,'[1]ABC Master Lists'!$B$2:$I$346,8,FALSE)," ")</f>
        <v>68</v>
      </c>
      <c r="L443" s="118" t="str">
        <f>IFERROR(VLOOKUP(J443,'[1]ABC Master Lists'!$AQ$2:$AS$12,3,FALSE)," ")</f>
        <v xml:space="preserve"> </v>
      </c>
      <c r="M443" s="118" t="str">
        <f>IFERROR(VLOOKUP(K443,'[1]ABC Master Lists'!$AD$2:$AE$22,2,FALSE), " ")</f>
        <v>+</v>
      </c>
    </row>
    <row r="444" spans="1:13" x14ac:dyDescent="0.25">
      <c r="E444" s="24" t="s">
        <v>33</v>
      </c>
      <c r="F444" s="4">
        <v>0.125</v>
      </c>
      <c r="G444" s="32" t="s">
        <v>54</v>
      </c>
      <c r="H444" s="36" t="s">
        <v>5</v>
      </c>
      <c r="J444" s="79" t="str">
        <f>IFERROR(VLOOKUP(I444,'[1]ABC Master Lists'!$B$2:$I$346,4,FALSE)," ")</f>
        <v xml:space="preserve"> </v>
      </c>
      <c r="K444" s="79" t="str">
        <f>IFERROR(VLOOKUP(I444,'[1]ABC Master Lists'!$B$2:$I$346,8,FALSE)," ")</f>
        <v xml:space="preserve"> </v>
      </c>
      <c r="L444" s="118" t="str">
        <f>IFERROR(VLOOKUP(J444,'[1]ABC Master Lists'!$AQ$2:$AS$12,3,FALSE)," ")</f>
        <v xml:space="preserve"> </v>
      </c>
      <c r="M444" s="118" t="str">
        <f>IFERROR(VLOOKUP(K444,'[1]ABC Master Lists'!$AD$2:$AE$22,2,FALSE), " ")</f>
        <v xml:space="preserve"> </v>
      </c>
    </row>
    <row r="445" spans="1:13" x14ac:dyDescent="0.25">
      <c r="E445" s="24" t="s">
        <v>28</v>
      </c>
      <c r="F445" s="4">
        <v>4</v>
      </c>
      <c r="G445" s="32" t="s">
        <v>7</v>
      </c>
      <c r="H445" s="36" t="s">
        <v>20</v>
      </c>
      <c r="J445" s="79" t="str">
        <f>IFERROR(VLOOKUP(I445,'[1]ABC Master Lists'!$B$2:$I$346,4,FALSE)," ")</f>
        <v xml:space="preserve"> </v>
      </c>
      <c r="K445" s="79" t="str">
        <f>IFERROR(VLOOKUP(I445,'[1]ABC Master Lists'!$B$2:$I$346,8,FALSE)," ")</f>
        <v xml:space="preserve"> </v>
      </c>
      <c r="L445" s="118" t="str">
        <f>IFERROR(VLOOKUP(J445,'[1]ABC Master Lists'!$AQ$2:$AS$12,3,FALSE)," ")</f>
        <v xml:space="preserve"> </v>
      </c>
      <c r="M445" s="118" t="str">
        <f>IFERROR(VLOOKUP(K445,'[1]ABC Master Lists'!$AD$2:$AE$22,2,FALSE), " ")</f>
        <v xml:space="preserve"> </v>
      </c>
    </row>
    <row r="446" spans="1:13" x14ac:dyDescent="0.25">
      <c r="E446" s="24" t="s">
        <v>33</v>
      </c>
      <c r="F446" s="4">
        <v>0.125</v>
      </c>
      <c r="G446" s="32" t="s">
        <v>54</v>
      </c>
      <c r="H446" s="36" t="s">
        <v>20</v>
      </c>
      <c r="J446" s="79" t="str">
        <f>IFERROR(VLOOKUP(I446,'[1]ABC Master Lists'!$B$2:$I$346,4,FALSE)," ")</f>
        <v xml:space="preserve"> </v>
      </c>
      <c r="K446" s="79" t="str">
        <f>IFERROR(VLOOKUP(I446,'[1]ABC Master Lists'!$B$2:$I$346,8,FALSE)," ")</f>
        <v xml:space="preserve"> </v>
      </c>
      <c r="L446" s="118" t="str">
        <f>IFERROR(VLOOKUP(J446,'[1]ABC Master Lists'!$AQ$2:$AS$12,3,FALSE)," ")</f>
        <v xml:space="preserve"> </v>
      </c>
      <c r="M446" s="118" t="str">
        <f>IFERROR(VLOOKUP(K446,'[1]ABC Master Lists'!$AD$2:$AE$22,2,FALSE), " ")</f>
        <v xml:space="preserve"> </v>
      </c>
    </row>
    <row r="447" spans="1:13" x14ac:dyDescent="0.25">
      <c r="D447" s="28">
        <v>9</v>
      </c>
      <c r="E447" s="31" t="s">
        <v>77</v>
      </c>
      <c r="F447" s="20">
        <v>3</v>
      </c>
      <c r="G447" s="34" t="s">
        <v>7</v>
      </c>
      <c r="H447" s="38" t="s">
        <v>5</v>
      </c>
      <c r="I447" s="38">
        <v>166</v>
      </c>
      <c r="J447" s="83">
        <f>IFERROR(VLOOKUP(I447,'[1]ABC Master Lists'!$B$2:$I$346,4,FALSE)," ")</f>
        <v>2229</v>
      </c>
      <c r="K447" s="83">
        <f>IFERROR(VLOOKUP(I447,'[1]ABC Master Lists'!$B$2:$I$346,8,FALSE)," ")</f>
        <v>68</v>
      </c>
      <c r="L447" s="122" t="str">
        <f>IFERROR(VLOOKUP(J447,'[1]ABC Master Lists'!$AQ$2:$AS$12,3,FALSE)," ")</f>
        <v>+</v>
      </c>
      <c r="M447" s="122" t="str">
        <f>IFERROR(VLOOKUP(K447,'[1]ABC Master Lists'!$AD$2:$AE$22,2,FALSE), " ")</f>
        <v>+</v>
      </c>
    </row>
    <row r="448" spans="1:13" x14ac:dyDescent="0.25">
      <c r="E448" s="24" t="s">
        <v>33</v>
      </c>
      <c r="F448" s="4">
        <v>0.125</v>
      </c>
      <c r="G448" s="32" t="s">
        <v>54</v>
      </c>
      <c r="H448" s="36" t="s">
        <v>5</v>
      </c>
      <c r="J448" s="79" t="str">
        <f>IFERROR(VLOOKUP(I448,'[1]ABC Master Lists'!$B$2:$I$346,4,FALSE)," ")</f>
        <v xml:space="preserve"> </v>
      </c>
      <c r="K448" s="79" t="str">
        <f>IFERROR(VLOOKUP(I448,'[1]ABC Master Lists'!$B$2:$I$346,8,FALSE)," ")</f>
        <v xml:space="preserve"> </v>
      </c>
      <c r="L448" s="118" t="str">
        <f>IFERROR(VLOOKUP(J448,'[1]ABC Master Lists'!$AQ$2:$AS$12,3,FALSE)," ")</f>
        <v xml:space="preserve"> </v>
      </c>
      <c r="M448" s="118" t="str">
        <f>IFERROR(VLOOKUP(K448,'[1]ABC Master Lists'!$AD$2:$AE$22,2,FALSE), " ")</f>
        <v xml:space="preserve"> </v>
      </c>
    </row>
    <row r="449" spans="4:13" x14ac:dyDescent="0.25">
      <c r="D449" s="26" t="s">
        <v>85</v>
      </c>
      <c r="E449" s="24" t="s">
        <v>28</v>
      </c>
      <c r="F449" s="4">
        <v>4</v>
      </c>
      <c r="G449" s="32" t="s">
        <v>7</v>
      </c>
      <c r="H449" s="36" t="s">
        <v>20</v>
      </c>
      <c r="J449" s="79" t="str">
        <f>IFERROR(VLOOKUP(I449,'[1]ABC Master Lists'!$B$2:$I$346,4,FALSE)," ")</f>
        <v xml:space="preserve"> </v>
      </c>
      <c r="K449" s="79" t="str">
        <f>IFERROR(VLOOKUP(I449,'[1]ABC Master Lists'!$B$2:$I$346,8,FALSE)," ")</f>
        <v xml:space="preserve"> </v>
      </c>
      <c r="L449" s="118" t="str">
        <f>IFERROR(VLOOKUP(J449,'[1]ABC Master Lists'!$AQ$2:$AS$12,3,FALSE)," ")</f>
        <v xml:space="preserve"> </v>
      </c>
      <c r="M449" s="118" t="str">
        <f>IFERROR(VLOOKUP(K449,'[1]ABC Master Lists'!$AD$2:$AE$22,2,FALSE), " ")</f>
        <v xml:space="preserve"> </v>
      </c>
    </row>
    <row r="450" spans="4:13" x14ac:dyDescent="0.25">
      <c r="D450" s="29"/>
      <c r="E450" s="25" t="s">
        <v>33</v>
      </c>
      <c r="F450" s="23">
        <v>0.125</v>
      </c>
      <c r="G450" s="35" t="s">
        <v>54</v>
      </c>
      <c r="H450" s="39" t="s">
        <v>20</v>
      </c>
      <c r="I450" s="39"/>
      <c r="J450" s="82" t="str">
        <f>IFERROR(VLOOKUP(I450,'[1]ABC Master Lists'!$B$2:$I$346,4,FALSE)," ")</f>
        <v xml:space="preserve"> </v>
      </c>
      <c r="K450" s="82" t="str">
        <f>IFERROR(VLOOKUP(I450,'[1]ABC Master Lists'!$B$2:$I$346,8,FALSE)," ")</f>
        <v xml:space="preserve"> </v>
      </c>
      <c r="L450" s="121" t="str">
        <f>IFERROR(VLOOKUP(J450,'[1]ABC Master Lists'!$AQ$2:$AS$12,3,FALSE)," ")</f>
        <v xml:space="preserve"> </v>
      </c>
      <c r="M450" s="121" t="str">
        <f>IFERROR(VLOOKUP(K450,'[1]ABC Master Lists'!$AD$2:$AE$22,2,FALSE), " ")</f>
        <v xml:space="preserve"> </v>
      </c>
    </row>
    <row r="451" spans="4:13" x14ac:dyDescent="0.25">
      <c r="D451" s="26">
        <v>10</v>
      </c>
      <c r="E451" s="24" t="s">
        <v>82</v>
      </c>
      <c r="F451" s="4">
        <v>8</v>
      </c>
      <c r="G451" s="32" t="s">
        <v>7</v>
      </c>
      <c r="H451" s="36" t="s">
        <v>5</v>
      </c>
      <c r="I451" s="36">
        <v>176</v>
      </c>
      <c r="J451" s="79">
        <f>IFERROR(VLOOKUP(I451,'[1]ABC Master Lists'!$B$2:$I$346,4,FALSE)," ")</f>
        <v>1422</v>
      </c>
      <c r="K451" s="79">
        <f>IFERROR(VLOOKUP(I451,'[1]ABC Master Lists'!$B$2:$I$346,8,FALSE)," ")</f>
        <v>68</v>
      </c>
      <c r="L451" s="118" t="str">
        <f>IFERROR(VLOOKUP(J451,'[1]ABC Master Lists'!$AQ$2:$AS$12,3,FALSE)," ")</f>
        <v xml:space="preserve"> </v>
      </c>
      <c r="M451" s="118" t="str">
        <f>IFERROR(VLOOKUP(K451,'[1]ABC Master Lists'!$AD$2:$AE$22,2,FALSE), " ")</f>
        <v>+</v>
      </c>
    </row>
    <row r="452" spans="4:13" x14ac:dyDescent="0.25">
      <c r="E452" s="24" t="s">
        <v>33</v>
      </c>
      <c r="F452" s="4">
        <v>0.125</v>
      </c>
      <c r="G452" s="32" t="s">
        <v>54</v>
      </c>
      <c r="H452" s="36" t="s">
        <v>5</v>
      </c>
      <c r="J452" s="79" t="str">
        <f>IFERROR(VLOOKUP(I452,'[1]ABC Master Lists'!$B$2:$I$346,4,FALSE)," ")</f>
        <v xml:space="preserve"> </v>
      </c>
      <c r="K452" s="79" t="str">
        <f>IFERROR(VLOOKUP(I452,'[1]ABC Master Lists'!$B$2:$I$346,8,FALSE)," ")</f>
        <v xml:space="preserve"> </v>
      </c>
      <c r="L452" s="118" t="str">
        <f>IFERROR(VLOOKUP(J452,'[1]ABC Master Lists'!$AQ$2:$AS$12,3,FALSE)," ")</f>
        <v xml:space="preserve"> </v>
      </c>
      <c r="M452" s="118" t="str">
        <f>IFERROR(VLOOKUP(K452,'[1]ABC Master Lists'!$AD$2:$AE$22,2,FALSE), " ")</f>
        <v xml:space="preserve"> </v>
      </c>
    </row>
    <row r="453" spans="4:13" x14ac:dyDescent="0.25">
      <c r="D453" s="26" t="s">
        <v>85</v>
      </c>
      <c r="E453" s="24" t="s">
        <v>77</v>
      </c>
      <c r="F453" s="4">
        <v>3</v>
      </c>
      <c r="G453" s="32" t="s">
        <v>7</v>
      </c>
      <c r="H453" s="36" t="s">
        <v>20</v>
      </c>
      <c r="J453" s="79" t="str">
        <f>IFERROR(VLOOKUP(I453,'[1]ABC Master Lists'!$B$2:$I$346,4,FALSE)," ")</f>
        <v xml:space="preserve"> </v>
      </c>
      <c r="K453" s="79" t="str">
        <f>IFERROR(VLOOKUP(I453,'[1]ABC Master Lists'!$B$2:$I$346,8,FALSE)," ")</f>
        <v xml:space="preserve"> </v>
      </c>
      <c r="L453" s="118" t="str">
        <f>IFERROR(VLOOKUP(J453,'[1]ABC Master Lists'!$AQ$2:$AS$12,3,FALSE)," ")</f>
        <v xml:space="preserve"> </v>
      </c>
      <c r="M453" s="118" t="str">
        <f>IFERROR(VLOOKUP(K453,'[1]ABC Master Lists'!$AD$2:$AE$22,2,FALSE), " ")</f>
        <v xml:space="preserve"> </v>
      </c>
    </row>
    <row r="454" spans="4:13" x14ac:dyDescent="0.25">
      <c r="E454" s="24" t="s">
        <v>33</v>
      </c>
      <c r="F454" s="4">
        <v>0.125</v>
      </c>
      <c r="G454" s="32" t="s">
        <v>54</v>
      </c>
      <c r="H454" s="36" t="s">
        <v>20</v>
      </c>
      <c r="J454" s="79" t="str">
        <f>IFERROR(VLOOKUP(I454,'[1]ABC Master Lists'!$B$2:$I$346,4,FALSE)," ")</f>
        <v xml:space="preserve"> </v>
      </c>
      <c r="K454" s="79" t="str">
        <f>IFERROR(VLOOKUP(I454,'[1]ABC Master Lists'!$B$2:$I$346,8,FALSE)," ")</f>
        <v xml:space="preserve"> </v>
      </c>
      <c r="L454" s="118" t="str">
        <f>IFERROR(VLOOKUP(J454,'[1]ABC Master Lists'!$AQ$2:$AS$12,3,FALSE)," ")</f>
        <v xml:space="preserve"> </v>
      </c>
      <c r="M454" s="118" t="str">
        <f>IFERROR(VLOOKUP(K454,'[1]ABC Master Lists'!$AD$2:$AE$22,2,FALSE), " ")</f>
        <v xml:space="preserve"> </v>
      </c>
    </row>
    <row r="455" spans="4:13" x14ac:dyDescent="0.25">
      <c r="D455" s="28">
        <v>11</v>
      </c>
      <c r="E455" s="31" t="s">
        <v>77</v>
      </c>
      <c r="F455" s="20">
        <v>3</v>
      </c>
      <c r="G455" s="34" t="s">
        <v>7</v>
      </c>
      <c r="H455" s="38" t="s">
        <v>5</v>
      </c>
      <c r="I455" s="38">
        <v>163</v>
      </c>
      <c r="J455" s="83">
        <f>IFERROR(VLOOKUP(I455,'[1]ABC Master Lists'!$B$2:$I$346,4,FALSE)," ")</f>
        <v>22</v>
      </c>
      <c r="K455" s="83">
        <f>IFERROR(VLOOKUP(I455,'[1]ABC Master Lists'!$B$2:$I$346,8,FALSE)," ")</f>
        <v>68</v>
      </c>
      <c r="L455" s="122" t="str">
        <f>IFERROR(VLOOKUP(J455,'[1]ABC Master Lists'!$AQ$2:$AS$12,3,FALSE)," ")</f>
        <v>+</v>
      </c>
      <c r="M455" s="122" t="str">
        <f>IFERROR(VLOOKUP(K455,'[1]ABC Master Lists'!$AD$2:$AE$22,2,FALSE), " ")</f>
        <v>+</v>
      </c>
    </row>
    <row r="456" spans="4:13" x14ac:dyDescent="0.25">
      <c r="E456" s="24" t="s">
        <v>33</v>
      </c>
      <c r="F456" s="4">
        <v>0.125</v>
      </c>
      <c r="G456" s="32" t="s">
        <v>54</v>
      </c>
      <c r="H456" s="36" t="s">
        <v>5</v>
      </c>
      <c r="J456" s="79" t="str">
        <f>IFERROR(VLOOKUP(I456,'[1]ABC Master Lists'!$B$2:$I$346,4,FALSE)," ")</f>
        <v xml:space="preserve"> </v>
      </c>
      <c r="K456" s="79" t="str">
        <f>IFERROR(VLOOKUP(I456,'[1]ABC Master Lists'!$B$2:$I$346,8,FALSE)," ")</f>
        <v xml:space="preserve"> </v>
      </c>
      <c r="L456" s="118" t="str">
        <f>IFERROR(VLOOKUP(J456,'[1]ABC Master Lists'!$AQ$2:$AS$12,3,FALSE)," ")</f>
        <v xml:space="preserve"> </v>
      </c>
      <c r="M456" s="118" t="str">
        <f>IFERROR(VLOOKUP(K456,'[1]ABC Master Lists'!$AD$2:$AE$22,2,FALSE), " ")</f>
        <v xml:space="preserve"> </v>
      </c>
    </row>
    <row r="457" spans="4:13" x14ac:dyDescent="0.25">
      <c r="D457" s="26" t="s">
        <v>85</v>
      </c>
      <c r="E457" s="24" t="s">
        <v>77</v>
      </c>
      <c r="F457" s="4">
        <v>3</v>
      </c>
      <c r="G457" s="32" t="s">
        <v>7</v>
      </c>
      <c r="H457" s="36" t="s">
        <v>20</v>
      </c>
      <c r="J457" s="79" t="str">
        <f>IFERROR(VLOOKUP(I457,'[1]ABC Master Lists'!$B$2:$I$346,4,FALSE)," ")</f>
        <v xml:space="preserve"> </v>
      </c>
      <c r="K457" s="79" t="str">
        <f>IFERROR(VLOOKUP(I457,'[1]ABC Master Lists'!$B$2:$I$346,8,FALSE)," ")</f>
        <v xml:space="preserve"> </v>
      </c>
      <c r="L457" s="118" t="str">
        <f>IFERROR(VLOOKUP(J457,'[1]ABC Master Lists'!$AQ$2:$AS$12,3,FALSE)," ")</f>
        <v xml:space="preserve"> </v>
      </c>
      <c r="M457" s="118" t="str">
        <f>IFERROR(VLOOKUP(K457,'[1]ABC Master Lists'!$AD$2:$AE$22,2,FALSE), " ")</f>
        <v xml:space="preserve"> </v>
      </c>
    </row>
    <row r="458" spans="4:13" x14ac:dyDescent="0.25">
      <c r="D458" s="29"/>
      <c r="E458" s="25" t="s">
        <v>33</v>
      </c>
      <c r="F458" s="23">
        <v>0.125</v>
      </c>
      <c r="G458" s="35" t="s">
        <v>54</v>
      </c>
      <c r="H458" s="39" t="s">
        <v>20</v>
      </c>
      <c r="I458" s="39"/>
      <c r="J458" s="82" t="str">
        <f>IFERROR(VLOOKUP(I458,'[1]ABC Master Lists'!$B$2:$I$346,4,FALSE)," ")</f>
        <v xml:space="preserve"> </v>
      </c>
      <c r="K458" s="82" t="str">
        <f>IFERROR(VLOOKUP(I458,'[1]ABC Master Lists'!$B$2:$I$346,8,FALSE)," ")</f>
        <v xml:space="preserve"> </v>
      </c>
      <c r="L458" s="121" t="str">
        <f>IFERROR(VLOOKUP(J458,'[1]ABC Master Lists'!$AQ$2:$AS$12,3,FALSE)," ")</f>
        <v xml:space="preserve"> </v>
      </c>
      <c r="M458" s="121" t="str">
        <f>IFERROR(VLOOKUP(K458,'[1]ABC Master Lists'!$AD$2:$AE$22,2,FALSE), " ")</f>
        <v xml:space="preserve"> </v>
      </c>
    </row>
    <row r="459" spans="4:13" x14ac:dyDescent="0.25">
      <c r="D459" s="26">
        <v>12</v>
      </c>
      <c r="E459" s="24" t="s">
        <v>84</v>
      </c>
      <c r="F459" s="4">
        <v>10</v>
      </c>
      <c r="G459" s="32" t="s">
        <v>7</v>
      </c>
      <c r="H459" s="36" t="s">
        <v>5</v>
      </c>
      <c r="I459" s="36">
        <v>7</v>
      </c>
      <c r="J459" s="79">
        <f>IFERROR(VLOOKUP(I459,'[1]ABC Master Lists'!$B$2:$I$346,4,FALSE)," ")</f>
        <v>261</v>
      </c>
      <c r="K459" s="79">
        <f>IFERROR(VLOOKUP(I459,'[1]ABC Master Lists'!$B$2:$I$346,8,FALSE)," ")</f>
        <v>6</v>
      </c>
      <c r="L459" s="118" t="str">
        <f>IFERROR(VLOOKUP(J459,'[1]ABC Master Lists'!$AQ$2:$AS$12,3,FALSE)," ")</f>
        <v xml:space="preserve"> </v>
      </c>
      <c r="M459" s="118" t="str">
        <f>IFERROR(VLOOKUP(K459,'[1]ABC Master Lists'!$AD$2:$AE$22,2,FALSE), " ")</f>
        <v>+</v>
      </c>
    </row>
    <row r="460" spans="4:13" x14ac:dyDescent="0.25">
      <c r="E460" s="24" t="s">
        <v>33</v>
      </c>
      <c r="F460" s="4">
        <v>0.25</v>
      </c>
      <c r="G460" s="32" t="s">
        <v>54</v>
      </c>
      <c r="H460" s="36" t="s">
        <v>5</v>
      </c>
      <c r="J460" s="79" t="str">
        <f>IFERROR(VLOOKUP(I460,'[1]ABC Master Lists'!$B$2:$I$346,4,FALSE)," ")</f>
        <v xml:space="preserve"> </v>
      </c>
      <c r="K460" s="79" t="str">
        <f>IFERROR(VLOOKUP(I460,'[1]ABC Master Lists'!$B$2:$I$346,8,FALSE)," ")</f>
        <v xml:space="preserve"> </v>
      </c>
      <c r="L460" s="118" t="str">
        <f>IFERROR(VLOOKUP(J460,'[1]ABC Master Lists'!$AQ$2:$AS$12,3,FALSE)," ")</f>
        <v xml:space="preserve"> </v>
      </c>
      <c r="M460" s="118" t="str">
        <f>IFERROR(VLOOKUP(K460,'[1]ABC Master Lists'!$AD$2:$AE$22,2,FALSE), " ")</f>
        <v xml:space="preserve"> </v>
      </c>
    </row>
    <row r="461" spans="4:13" x14ac:dyDescent="0.25">
      <c r="D461" s="28">
        <v>13</v>
      </c>
      <c r="E461" s="31" t="s">
        <v>86</v>
      </c>
      <c r="F461" s="20">
        <v>4</v>
      </c>
      <c r="G461" s="34" t="s">
        <v>7</v>
      </c>
      <c r="H461" s="38" t="s">
        <v>5</v>
      </c>
      <c r="I461" s="38">
        <v>72</v>
      </c>
      <c r="J461" s="83">
        <f>IFERROR(VLOOKUP(I461,'[1]ABC Master Lists'!$B$2:$I$346,4,FALSE)," ")</f>
        <v>26</v>
      </c>
      <c r="K461" s="83">
        <f>IFERROR(VLOOKUP(I461,'[1]ABC Master Lists'!$B$2:$I$346,8,FALSE)," ")</f>
        <v>6</v>
      </c>
      <c r="L461" s="122" t="str">
        <f>IFERROR(VLOOKUP(J461,'[1]ABC Master Lists'!$AQ$2:$AS$12,3,FALSE)," ")</f>
        <v>+</v>
      </c>
      <c r="M461" s="122" t="str">
        <f>IFERROR(VLOOKUP(K461,'[1]ABC Master Lists'!$AD$2:$AE$22,2,FALSE), " ")</f>
        <v>+</v>
      </c>
    </row>
    <row r="462" spans="4:13" x14ac:dyDescent="0.25">
      <c r="D462" s="29"/>
      <c r="E462" s="25" t="s">
        <v>33</v>
      </c>
      <c r="F462" s="23">
        <v>0.25</v>
      </c>
      <c r="G462" s="35" t="s">
        <v>54</v>
      </c>
      <c r="H462" s="39" t="s">
        <v>5</v>
      </c>
      <c r="I462" s="39"/>
      <c r="J462" s="82" t="str">
        <f>IFERROR(VLOOKUP(I462,'[1]ABC Master Lists'!$B$2:$I$346,4,FALSE)," ")</f>
        <v xml:space="preserve"> </v>
      </c>
      <c r="K462" s="82" t="str">
        <f>IFERROR(VLOOKUP(I462,'[1]ABC Master Lists'!$B$2:$I$346,8,FALSE)," ")</f>
        <v xml:space="preserve"> </v>
      </c>
      <c r="L462" s="121" t="str">
        <f>IFERROR(VLOOKUP(J462,'[1]ABC Master Lists'!$AQ$2:$AS$12,3,FALSE)," ")</f>
        <v xml:space="preserve"> </v>
      </c>
      <c r="M462" s="121" t="str">
        <f>IFERROR(VLOOKUP(K462,'[1]ABC Master Lists'!$AD$2:$AE$22,2,FALSE), " ")</f>
        <v xml:space="preserve"> </v>
      </c>
    </row>
    <row r="463" spans="4:13" x14ac:dyDescent="0.25">
      <c r="D463" s="26">
        <v>14</v>
      </c>
      <c r="E463" s="24" t="s">
        <v>86</v>
      </c>
      <c r="F463" s="4">
        <v>5</v>
      </c>
      <c r="G463" s="32" t="s">
        <v>7</v>
      </c>
      <c r="H463" s="36" t="s">
        <v>5</v>
      </c>
      <c r="I463" s="36">
        <v>74</v>
      </c>
      <c r="J463" s="79">
        <f>IFERROR(VLOOKUP(I463,'[1]ABC Master Lists'!$B$2:$I$346,4,FALSE)," ")</f>
        <v>26</v>
      </c>
      <c r="K463" s="79">
        <f>IFERROR(VLOOKUP(I463,'[1]ABC Master Lists'!$B$2:$I$346,8,FALSE)," ")</f>
        <v>6</v>
      </c>
      <c r="L463" s="118" t="str">
        <f>IFERROR(VLOOKUP(J463,'[1]ABC Master Lists'!$AQ$2:$AS$12,3,FALSE)," ")</f>
        <v>+</v>
      </c>
      <c r="M463" s="118" t="str">
        <f>IFERROR(VLOOKUP(K463,'[1]ABC Master Lists'!$AD$2:$AE$22,2,FALSE), " ")</f>
        <v>+</v>
      </c>
    </row>
    <row r="464" spans="4:13" x14ac:dyDescent="0.25">
      <c r="E464" s="24" t="s">
        <v>33</v>
      </c>
      <c r="F464" s="4">
        <v>0.25</v>
      </c>
      <c r="G464" s="32" t="s">
        <v>54</v>
      </c>
      <c r="H464" s="36" t="s">
        <v>5</v>
      </c>
      <c r="J464" s="79" t="str">
        <f>IFERROR(VLOOKUP(I464,'[1]ABC Master Lists'!$B$2:$I$346,4,FALSE)," ")</f>
        <v xml:space="preserve"> </v>
      </c>
      <c r="K464" s="79" t="str">
        <f>IFERROR(VLOOKUP(I464,'[1]ABC Master Lists'!$B$2:$I$346,8,FALSE)," ")</f>
        <v xml:space="preserve"> </v>
      </c>
      <c r="L464" s="118" t="str">
        <f>IFERROR(VLOOKUP(J464,'[1]ABC Master Lists'!$AQ$2:$AS$12,3,FALSE)," ")</f>
        <v xml:space="preserve"> </v>
      </c>
      <c r="M464" s="118" t="str">
        <f>IFERROR(VLOOKUP(K464,'[1]ABC Master Lists'!$AD$2:$AE$22,2,FALSE), " ")</f>
        <v xml:space="preserve"> </v>
      </c>
    </row>
    <row r="465" spans="4:13" x14ac:dyDescent="0.25">
      <c r="D465" s="28">
        <v>15</v>
      </c>
      <c r="E465" s="31" t="s">
        <v>86</v>
      </c>
      <c r="F465" s="20">
        <v>5</v>
      </c>
      <c r="G465" s="34" t="s">
        <v>7</v>
      </c>
      <c r="H465" s="38" t="s">
        <v>5</v>
      </c>
      <c r="I465" s="38">
        <v>79</v>
      </c>
      <c r="J465" s="83">
        <f>IFERROR(VLOOKUP(I465,'[1]ABC Master Lists'!$B$2:$I$346,4,FALSE)," ")</f>
        <v>26</v>
      </c>
      <c r="K465" s="83">
        <f>IFERROR(VLOOKUP(I465,'[1]ABC Master Lists'!$B$2:$I$346,8,FALSE)," ")</f>
        <v>68</v>
      </c>
      <c r="L465" s="122" t="str">
        <f>IFERROR(VLOOKUP(J465,'[1]ABC Master Lists'!$AQ$2:$AS$12,3,FALSE)," ")</f>
        <v>+</v>
      </c>
      <c r="M465" s="122" t="str">
        <f>IFERROR(VLOOKUP(K465,'[1]ABC Master Lists'!$AD$2:$AE$22,2,FALSE), " ")</f>
        <v>+</v>
      </c>
    </row>
    <row r="466" spans="4:13" x14ac:dyDescent="0.25">
      <c r="E466" s="24" t="s">
        <v>33</v>
      </c>
      <c r="F466" s="4">
        <v>0.25</v>
      </c>
      <c r="G466" s="32" t="s">
        <v>54</v>
      </c>
      <c r="H466" s="36" t="s">
        <v>5</v>
      </c>
      <c r="J466" s="79" t="str">
        <f>IFERROR(VLOOKUP(I466,'[1]ABC Master Lists'!$B$2:$I$346,4,FALSE)," ")</f>
        <v xml:space="preserve"> </v>
      </c>
      <c r="K466" s="79" t="str">
        <f>IFERROR(VLOOKUP(I466,'[1]ABC Master Lists'!$B$2:$I$346,8,FALSE)," ")</f>
        <v xml:space="preserve"> </v>
      </c>
      <c r="L466" s="118" t="str">
        <f>IFERROR(VLOOKUP(J466,'[1]ABC Master Lists'!$AQ$2:$AS$12,3,FALSE)," ")</f>
        <v xml:space="preserve"> </v>
      </c>
      <c r="M466" s="118" t="str">
        <f>IFERROR(VLOOKUP(K466,'[1]ABC Master Lists'!$AD$2:$AE$22,2,FALSE), " ")</f>
        <v xml:space="preserve"> </v>
      </c>
    </row>
    <row r="467" spans="4:13" x14ac:dyDescent="0.25">
      <c r="D467" s="26" t="s">
        <v>85</v>
      </c>
      <c r="E467" s="24" t="s">
        <v>86</v>
      </c>
      <c r="F467" s="4">
        <v>5</v>
      </c>
      <c r="G467" s="32" t="s">
        <v>7</v>
      </c>
      <c r="H467" s="36" t="s">
        <v>20</v>
      </c>
      <c r="J467" s="79" t="str">
        <f>IFERROR(VLOOKUP(I467,'[1]ABC Master Lists'!$B$2:$I$346,4,FALSE)," ")</f>
        <v xml:space="preserve"> </v>
      </c>
      <c r="K467" s="79" t="str">
        <f>IFERROR(VLOOKUP(I467,'[1]ABC Master Lists'!$B$2:$I$346,8,FALSE)," ")</f>
        <v xml:space="preserve"> </v>
      </c>
      <c r="L467" s="118" t="str">
        <f>IFERROR(VLOOKUP(J467,'[1]ABC Master Lists'!$AQ$2:$AS$12,3,FALSE)," ")</f>
        <v xml:space="preserve"> </v>
      </c>
      <c r="M467" s="118" t="str">
        <f>IFERROR(VLOOKUP(K467,'[1]ABC Master Lists'!$AD$2:$AE$22,2,FALSE), " ")</f>
        <v xml:space="preserve"> </v>
      </c>
    </row>
    <row r="468" spans="4:13" x14ac:dyDescent="0.25">
      <c r="D468" s="29"/>
      <c r="E468" s="25" t="s">
        <v>33</v>
      </c>
      <c r="F468" s="23">
        <v>0.25</v>
      </c>
      <c r="G468" s="35" t="s">
        <v>54</v>
      </c>
      <c r="H468" s="39" t="s">
        <v>20</v>
      </c>
      <c r="I468" s="39"/>
      <c r="J468" s="82" t="str">
        <f>IFERROR(VLOOKUP(I468,'[1]ABC Master Lists'!$B$2:$I$346,4,FALSE)," ")</f>
        <v xml:space="preserve"> </v>
      </c>
      <c r="K468" s="82" t="str">
        <f>IFERROR(VLOOKUP(I468,'[1]ABC Master Lists'!$B$2:$I$346,8,FALSE)," ")</f>
        <v xml:space="preserve"> </v>
      </c>
      <c r="L468" s="121" t="str">
        <f>IFERROR(VLOOKUP(J468,'[1]ABC Master Lists'!$AQ$2:$AS$12,3,FALSE)," ")</f>
        <v xml:space="preserve"> </v>
      </c>
      <c r="M468" s="121" t="str">
        <f>IFERROR(VLOOKUP(K468,'[1]ABC Master Lists'!$AD$2:$AE$22,2,FALSE), " ")</f>
        <v xml:space="preserve"> </v>
      </c>
    </row>
    <row r="469" spans="4:13" x14ac:dyDescent="0.25">
      <c r="D469" s="26">
        <v>16</v>
      </c>
      <c r="E469" s="24" t="s">
        <v>86</v>
      </c>
      <c r="F469" s="4">
        <v>5</v>
      </c>
      <c r="G469" s="32" t="s">
        <v>7</v>
      </c>
      <c r="H469" s="36" t="s">
        <v>5</v>
      </c>
      <c r="I469" s="36">
        <v>81</v>
      </c>
      <c r="J469" s="79">
        <f>IFERROR(VLOOKUP(I469,'[1]ABC Master Lists'!$B$2:$I$346,4,FALSE)," ")</f>
        <v>261</v>
      </c>
      <c r="K469" s="79">
        <f>IFERROR(VLOOKUP(I469,'[1]ABC Master Lists'!$B$2:$I$346,8,FALSE)," ")</f>
        <v>68</v>
      </c>
      <c r="L469" s="118" t="str">
        <f>IFERROR(VLOOKUP(J469,'[1]ABC Master Lists'!$AQ$2:$AS$12,3,FALSE)," ")</f>
        <v xml:space="preserve"> </v>
      </c>
      <c r="M469" s="118" t="str">
        <f>IFERROR(VLOOKUP(K469,'[1]ABC Master Lists'!$AD$2:$AE$22,2,FALSE), " ")</f>
        <v>+</v>
      </c>
    </row>
    <row r="470" spans="4:13" x14ac:dyDescent="0.25">
      <c r="E470" s="24" t="s">
        <v>33</v>
      </c>
      <c r="F470" s="4">
        <v>0.25</v>
      </c>
      <c r="G470" s="32" t="s">
        <v>54</v>
      </c>
      <c r="H470" s="36" t="s">
        <v>5</v>
      </c>
      <c r="J470" s="79" t="str">
        <f>IFERROR(VLOOKUP(I470,'[1]ABC Master Lists'!$B$2:$I$346,4,FALSE)," ")</f>
        <v xml:space="preserve"> </v>
      </c>
      <c r="K470" s="79" t="str">
        <f>IFERROR(VLOOKUP(I470,'[1]ABC Master Lists'!$B$2:$I$346,8,FALSE)," ")</f>
        <v xml:space="preserve"> </v>
      </c>
      <c r="L470" s="118" t="str">
        <f>IFERROR(VLOOKUP(J470,'[1]ABC Master Lists'!$AQ$2:$AS$12,3,FALSE)," ")</f>
        <v xml:space="preserve"> </v>
      </c>
      <c r="M470" s="118" t="str">
        <f>IFERROR(VLOOKUP(K470,'[1]ABC Master Lists'!$AD$2:$AE$22,2,FALSE), " ")</f>
        <v xml:space="preserve"> </v>
      </c>
    </row>
    <row r="471" spans="4:13" x14ac:dyDescent="0.25">
      <c r="E471" s="24" t="s">
        <v>84</v>
      </c>
      <c r="F471" s="4">
        <v>10</v>
      </c>
      <c r="G471" s="32" t="s">
        <v>7</v>
      </c>
      <c r="H471" s="36" t="s">
        <v>20</v>
      </c>
      <c r="J471" s="79" t="str">
        <f>IFERROR(VLOOKUP(I471,'[1]ABC Master Lists'!$B$2:$I$346,4,FALSE)," ")</f>
        <v xml:space="preserve"> </v>
      </c>
      <c r="K471" s="79" t="str">
        <f>IFERROR(VLOOKUP(I471,'[1]ABC Master Lists'!$B$2:$I$346,8,FALSE)," ")</f>
        <v xml:space="preserve"> </v>
      </c>
      <c r="L471" s="118" t="str">
        <f>IFERROR(VLOOKUP(J471,'[1]ABC Master Lists'!$AQ$2:$AS$12,3,FALSE)," ")</f>
        <v xml:space="preserve"> </v>
      </c>
      <c r="M471" s="118" t="str">
        <f>IFERROR(VLOOKUP(K471,'[1]ABC Master Lists'!$AD$2:$AE$22,2,FALSE), " ")</f>
        <v xml:space="preserve"> </v>
      </c>
    </row>
    <row r="472" spans="4:13" x14ac:dyDescent="0.25">
      <c r="E472" s="24" t="s">
        <v>33</v>
      </c>
      <c r="F472" s="4">
        <v>0.25</v>
      </c>
      <c r="G472" s="32" t="s">
        <v>54</v>
      </c>
      <c r="H472" s="36" t="s">
        <v>20</v>
      </c>
      <c r="J472" s="79" t="str">
        <f>IFERROR(VLOOKUP(I472,'[1]ABC Master Lists'!$B$2:$I$346,4,FALSE)," ")</f>
        <v xml:space="preserve"> </v>
      </c>
      <c r="K472" s="79" t="str">
        <f>IFERROR(VLOOKUP(I472,'[1]ABC Master Lists'!$B$2:$I$346,8,FALSE)," ")</f>
        <v xml:space="preserve"> </v>
      </c>
      <c r="L472" s="118" t="str">
        <f>IFERROR(VLOOKUP(J472,'[1]ABC Master Lists'!$AQ$2:$AS$12,3,FALSE)," ")</f>
        <v xml:space="preserve"> </v>
      </c>
      <c r="M472" s="118" t="str">
        <f>IFERROR(VLOOKUP(K472,'[1]ABC Master Lists'!$AD$2:$AE$22,2,FALSE), " ")</f>
        <v xml:space="preserve"> </v>
      </c>
    </row>
    <row r="473" spans="4:13" x14ac:dyDescent="0.25">
      <c r="D473" s="28">
        <v>17</v>
      </c>
      <c r="E473" s="31" t="s">
        <v>10</v>
      </c>
      <c r="F473" s="20">
        <v>6</v>
      </c>
      <c r="G473" s="34" t="s">
        <v>7</v>
      </c>
      <c r="H473" s="38" t="s">
        <v>5</v>
      </c>
      <c r="I473" s="38">
        <v>102</v>
      </c>
      <c r="J473" s="83">
        <f>IFERROR(VLOOKUP(I473,'[1]ABC Master Lists'!$B$2:$I$346,4,FALSE)," ")</f>
        <v>41624</v>
      </c>
      <c r="K473" s="83">
        <f>IFERROR(VLOOKUP(I473,'[1]ABC Master Lists'!$B$2:$I$346,8,FALSE)," ")</f>
        <v>68</v>
      </c>
      <c r="L473" s="122" t="str">
        <f>IFERROR(VLOOKUP(J473,'[1]ABC Master Lists'!$AQ$2:$AS$12,3,FALSE)," ")</f>
        <v>+</v>
      </c>
      <c r="M473" s="122" t="str">
        <f>IFERROR(VLOOKUP(K473,'[1]ABC Master Lists'!$AD$2:$AE$22,2,FALSE), " ")</f>
        <v>+</v>
      </c>
    </row>
    <row r="474" spans="4:13" x14ac:dyDescent="0.25">
      <c r="E474" s="24" t="s">
        <v>33</v>
      </c>
      <c r="F474" s="4">
        <v>0.25</v>
      </c>
      <c r="G474" s="32" t="s">
        <v>54</v>
      </c>
      <c r="H474" s="36" t="s">
        <v>5</v>
      </c>
      <c r="J474" s="79" t="str">
        <f>IFERROR(VLOOKUP(I474,'[1]ABC Master Lists'!$B$2:$I$346,4,FALSE)," ")</f>
        <v xml:space="preserve"> </v>
      </c>
      <c r="K474" s="79" t="str">
        <f>IFERROR(VLOOKUP(I474,'[1]ABC Master Lists'!$B$2:$I$346,8,FALSE)," ")</f>
        <v xml:space="preserve"> </v>
      </c>
      <c r="L474" s="118" t="str">
        <f>IFERROR(VLOOKUP(J474,'[1]ABC Master Lists'!$AQ$2:$AS$12,3,FALSE)," ")</f>
        <v xml:space="preserve"> </v>
      </c>
      <c r="M474" s="118" t="str">
        <f>IFERROR(VLOOKUP(K474,'[1]ABC Master Lists'!$AD$2:$AE$22,2,FALSE), " ")</f>
        <v xml:space="preserve"> </v>
      </c>
    </row>
    <row r="475" spans="4:13" x14ac:dyDescent="0.25">
      <c r="E475" s="24" t="s">
        <v>44</v>
      </c>
      <c r="F475" s="4">
        <v>4</v>
      </c>
      <c r="G475" s="32" t="s">
        <v>7</v>
      </c>
      <c r="H475" s="36" t="s">
        <v>20</v>
      </c>
      <c r="J475" s="79" t="str">
        <f>IFERROR(VLOOKUP(I475,'[1]ABC Master Lists'!$B$2:$I$346,4,FALSE)," ")</f>
        <v xml:space="preserve"> </v>
      </c>
      <c r="K475" s="79" t="str">
        <f>IFERROR(VLOOKUP(I475,'[1]ABC Master Lists'!$B$2:$I$346,8,FALSE)," ")</f>
        <v xml:space="preserve"> </v>
      </c>
      <c r="L475" s="118" t="str">
        <f>IFERROR(VLOOKUP(J475,'[1]ABC Master Lists'!$AQ$2:$AS$12,3,FALSE)," ")</f>
        <v xml:space="preserve"> </v>
      </c>
      <c r="M475" s="118" t="str">
        <f>IFERROR(VLOOKUP(K475,'[1]ABC Master Lists'!$AD$2:$AE$22,2,FALSE), " ")</f>
        <v xml:space="preserve"> </v>
      </c>
    </row>
    <row r="476" spans="4:13" x14ac:dyDescent="0.25">
      <c r="D476" s="29"/>
      <c r="E476" s="25" t="s">
        <v>33</v>
      </c>
      <c r="F476" s="23">
        <v>0.25</v>
      </c>
      <c r="G476" s="35" t="s">
        <v>54</v>
      </c>
      <c r="H476" s="39" t="s">
        <v>20</v>
      </c>
      <c r="I476" s="39"/>
      <c r="J476" s="82" t="str">
        <f>IFERROR(VLOOKUP(I476,'[1]ABC Master Lists'!$B$2:$I$346,4,FALSE)," ")</f>
        <v xml:space="preserve"> </v>
      </c>
      <c r="K476" s="82" t="str">
        <f>IFERROR(VLOOKUP(I476,'[1]ABC Master Lists'!$B$2:$I$346,8,FALSE)," ")</f>
        <v xml:space="preserve"> </v>
      </c>
      <c r="L476" s="121" t="str">
        <f>IFERROR(VLOOKUP(J476,'[1]ABC Master Lists'!$AQ$2:$AS$12,3,FALSE)," ")</f>
        <v xml:space="preserve"> </v>
      </c>
      <c r="M476" s="121" t="str">
        <f>IFERROR(VLOOKUP(K476,'[1]ABC Master Lists'!$AD$2:$AE$22,2,FALSE), " ")</f>
        <v xml:space="preserve"> </v>
      </c>
    </row>
    <row r="477" spans="4:13" x14ac:dyDescent="0.25">
      <c r="D477" s="26">
        <v>18</v>
      </c>
      <c r="E477" s="24" t="s">
        <v>12</v>
      </c>
      <c r="F477" s="4">
        <v>20</v>
      </c>
      <c r="G477" s="32" t="s">
        <v>7</v>
      </c>
      <c r="H477" s="36" t="s">
        <v>5</v>
      </c>
      <c r="I477" s="36">
        <v>210</v>
      </c>
      <c r="J477" s="79">
        <f>IFERROR(VLOOKUP(I477,'[1]ABC Master Lists'!$B$2:$I$346,4,FALSE)," ")</f>
        <v>28</v>
      </c>
      <c r="K477" s="79">
        <f>IFERROR(VLOOKUP(I477,'[1]ABC Master Lists'!$B$2:$I$346,8,FALSE)," ")</f>
        <v>6</v>
      </c>
      <c r="L477" s="118" t="str">
        <f>IFERROR(VLOOKUP(J477,'[1]ABC Master Lists'!$AQ$2:$AS$12,3,FALSE)," ")</f>
        <v>+</v>
      </c>
      <c r="M477" s="118" t="str">
        <f>IFERROR(VLOOKUP(K477,'[1]ABC Master Lists'!$AD$2:$AE$22,2,FALSE), " ")</f>
        <v>+</v>
      </c>
    </row>
    <row r="478" spans="4:13" x14ac:dyDescent="0.25">
      <c r="E478" s="24" t="s">
        <v>33</v>
      </c>
      <c r="F478" s="4">
        <v>0.25</v>
      </c>
      <c r="G478" s="32" t="s">
        <v>54</v>
      </c>
      <c r="H478" s="36" t="s">
        <v>5</v>
      </c>
      <c r="J478" s="79" t="str">
        <f>IFERROR(VLOOKUP(I478,'[1]ABC Master Lists'!$B$2:$I$346,4,FALSE)," ")</f>
        <v xml:space="preserve"> </v>
      </c>
      <c r="K478" s="79" t="str">
        <f>IFERROR(VLOOKUP(I478,'[1]ABC Master Lists'!$B$2:$I$346,8,FALSE)," ")</f>
        <v xml:space="preserve"> </v>
      </c>
      <c r="L478" s="118" t="str">
        <f>IFERROR(VLOOKUP(J478,'[1]ABC Master Lists'!$AQ$2:$AS$12,3,FALSE)," ")</f>
        <v xml:space="preserve"> </v>
      </c>
      <c r="M478" s="118" t="str">
        <f>IFERROR(VLOOKUP(K478,'[1]ABC Master Lists'!$AD$2:$AE$22,2,FALSE), " ")</f>
        <v xml:space="preserve"> </v>
      </c>
    </row>
    <row r="479" spans="4:13" x14ac:dyDescent="0.25">
      <c r="D479" s="28">
        <v>19</v>
      </c>
      <c r="E479" s="31" t="s">
        <v>12</v>
      </c>
      <c r="F479" s="20">
        <v>30</v>
      </c>
      <c r="G479" s="34" t="s">
        <v>7</v>
      </c>
      <c r="H479" s="38" t="s">
        <v>5</v>
      </c>
      <c r="I479" s="38">
        <v>213</v>
      </c>
      <c r="J479" s="83">
        <f>IFERROR(VLOOKUP(I479,'[1]ABC Master Lists'!$B$2:$I$346,4,FALSE)," ")</f>
        <v>28</v>
      </c>
      <c r="K479" s="83">
        <f>IFERROR(VLOOKUP(I479,'[1]ABC Master Lists'!$B$2:$I$346,8,FALSE)," ")</f>
        <v>6</v>
      </c>
      <c r="L479" s="122" t="str">
        <f>IFERROR(VLOOKUP(J479,'[1]ABC Master Lists'!$AQ$2:$AS$12,3,FALSE)," ")</f>
        <v>+</v>
      </c>
      <c r="M479" s="122" t="str">
        <f>IFERROR(VLOOKUP(K479,'[1]ABC Master Lists'!$AD$2:$AE$22,2,FALSE), " ")</f>
        <v>+</v>
      </c>
    </row>
    <row r="480" spans="4:13" x14ac:dyDescent="0.25">
      <c r="D480" s="29"/>
      <c r="E480" s="25" t="s">
        <v>33</v>
      </c>
      <c r="F480" s="23">
        <v>0.25</v>
      </c>
      <c r="G480" s="35" t="s">
        <v>54</v>
      </c>
      <c r="H480" s="39" t="s">
        <v>5</v>
      </c>
      <c r="I480" s="39"/>
      <c r="J480" s="82" t="str">
        <f>IFERROR(VLOOKUP(I480,'[1]ABC Master Lists'!$B$2:$I$346,4,FALSE)," ")</f>
        <v xml:space="preserve"> </v>
      </c>
      <c r="K480" s="82" t="str">
        <f>IFERROR(VLOOKUP(I480,'[1]ABC Master Lists'!$B$2:$I$346,8,FALSE)," ")</f>
        <v xml:space="preserve"> </v>
      </c>
      <c r="L480" s="121" t="str">
        <f>IFERROR(VLOOKUP(J480,'[1]ABC Master Lists'!$AQ$2:$AS$12,3,FALSE)," ")</f>
        <v xml:space="preserve"> </v>
      </c>
      <c r="M480" s="121" t="str">
        <f>IFERROR(VLOOKUP(K480,'[1]ABC Master Lists'!$AD$2:$AE$22,2,FALSE), " ")</f>
        <v xml:space="preserve"> </v>
      </c>
    </row>
    <row r="481" spans="4:13" x14ac:dyDescent="0.25">
      <c r="D481" s="26">
        <v>20</v>
      </c>
      <c r="E481" s="24" t="s">
        <v>12</v>
      </c>
      <c r="F481" s="4">
        <v>40</v>
      </c>
      <c r="G481" s="32" t="s">
        <v>7</v>
      </c>
      <c r="H481" s="36" t="s">
        <v>5</v>
      </c>
      <c r="I481" s="36">
        <v>216</v>
      </c>
      <c r="J481" s="79">
        <f>IFERROR(VLOOKUP(I481,'[1]ABC Master Lists'!$B$2:$I$346,4,FALSE)," ")</f>
        <v>28</v>
      </c>
      <c r="K481" s="79">
        <f>IFERROR(VLOOKUP(I481,'[1]ABC Master Lists'!$B$2:$I$346,8,FALSE)," ")</f>
        <v>6</v>
      </c>
      <c r="L481" s="118" t="str">
        <f>IFERROR(VLOOKUP(J481,'[1]ABC Master Lists'!$AQ$2:$AS$12,3,FALSE)," ")</f>
        <v>+</v>
      </c>
      <c r="M481" s="118" t="str">
        <f>IFERROR(VLOOKUP(K481,'[1]ABC Master Lists'!$AD$2:$AE$22,2,FALSE), " ")</f>
        <v>+</v>
      </c>
    </row>
    <row r="482" spans="4:13" x14ac:dyDescent="0.25">
      <c r="E482" s="24" t="s">
        <v>33</v>
      </c>
      <c r="F482" s="4">
        <v>0.25</v>
      </c>
      <c r="G482" s="32" t="s">
        <v>54</v>
      </c>
      <c r="H482" s="36" t="s">
        <v>5</v>
      </c>
      <c r="J482" s="79" t="str">
        <f>IFERROR(VLOOKUP(I482,'[1]ABC Master Lists'!$B$2:$I$346,4,FALSE)," ")</f>
        <v xml:space="preserve"> </v>
      </c>
      <c r="K482" s="79" t="str">
        <f>IFERROR(VLOOKUP(I482,'[1]ABC Master Lists'!$B$2:$I$346,8,FALSE)," ")</f>
        <v xml:space="preserve"> </v>
      </c>
      <c r="L482" s="118" t="str">
        <f>IFERROR(VLOOKUP(J482,'[1]ABC Master Lists'!$AQ$2:$AS$12,3,FALSE)," ")</f>
        <v xml:space="preserve"> </v>
      </c>
      <c r="M482" s="118" t="str">
        <f>IFERROR(VLOOKUP(K482,'[1]ABC Master Lists'!$AD$2:$AE$22,2,FALSE), " ")</f>
        <v xml:space="preserve"> </v>
      </c>
    </row>
    <row r="483" spans="4:13" x14ac:dyDescent="0.25">
      <c r="D483" s="28">
        <v>21</v>
      </c>
      <c r="E483" s="31" t="s">
        <v>12</v>
      </c>
      <c r="F483" s="20">
        <v>20</v>
      </c>
      <c r="G483" s="34" t="s">
        <v>7</v>
      </c>
      <c r="H483" s="38" t="s">
        <v>57</v>
      </c>
      <c r="I483" s="38">
        <v>211</v>
      </c>
      <c r="J483" s="83">
        <f>IFERROR(VLOOKUP(I483,'[1]ABC Master Lists'!$B$2:$I$346,4,FALSE)," ")</f>
        <v>28</v>
      </c>
      <c r="K483" s="83">
        <f>IFERROR(VLOOKUP(I483,'[1]ABC Master Lists'!$B$2:$I$346,8,FALSE)," ")</f>
        <v>7</v>
      </c>
      <c r="L483" s="122" t="str">
        <f>IFERROR(VLOOKUP(J483,'[1]ABC Master Lists'!$AQ$2:$AS$12,3,FALSE)," ")</f>
        <v>+</v>
      </c>
      <c r="M483" s="122" t="str">
        <f>IFERROR(VLOOKUP(K483,'[1]ABC Master Lists'!$AD$2:$AE$22,2,FALSE), " ")</f>
        <v>+</v>
      </c>
    </row>
    <row r="484" spans="4:13" x14ac:dyDescent="0.25">
      <c r="D484" s="29"/>
      <c r="E484" s="25" t="s">
        <v>33</v>
      </c>
      <c r="F484" s="23">
        <v>0.25</v>
      </c>
      <c r="G484" s="35" t="s">
        <v>54</v>
      </c>
      <c r="H484" s="39" t="s">
        <v>57</v>
      </c>
      <c r="I484" s="39"/>
      <c r="J484" s="82" t="str">
        <f>IFERROR(VLOOKUP(I484,'[1]ABC Master Lists'!$B$2:$I$346,4,FALSE)," ")</f>
        <v xml:space="preserve"> </v>
      </c>
      <c r="K484" s="82" t="str">
        <f>IFERROR(VLOOKUP(I484,'[1]ABC Master Lists'!$B$2:$I$346,8,FALSE)," ")</f>
        <v xml:space="preserve"> </v>
      </c>
      <c r="L484" s="121" t="str">
        <f>IFERROR(VLOOKUP(J484,'[1]ABC Master Lists'!$AQ$2:$AS$12,3,FALSE)," ")</f>
        <v xml:space="preserve"> </v>
      </c>
      <c r="M484" s="121" t="str">
        <f>IFERROR(VLOOKUP(K484,'[1]ABC Master Lists'!$AD$2:$AE$22,2,FALSE), " ")</f>
        <v xml:space="preserve"> </v>
      </c>
    </row>
    <row r="485" spans="4:13" x14ac:dyDescent="0.25">
      <c r="D485" s="26">
        <v>22</v>
      </c>
      <c r="E485" s="24" t="s">
        <v>12</v>
      </c>
      <c r="F485" s="4">
        <v>30</v>
      </c>
      <c r="G485" s="32" t="s">
        <v>7</v>
      </c>
      <c r="H485" s="36" t="s">
        <v>57</v>
      </c>
      <c r="I485" s="36">
        <v>214</v>
      </c>
      <c r="J485" s="79">
        <f>IFERROR(VLOOKUP(I485,'[1]ABC Master Lists'!$B$2:$I$346,4,FALSE)," ")</f>
        <v>28</v>
      </c>
      <c r="K485" s="79">
        <f>IFERROR(VLOOKUP(I485,'[1]ABC Master Lists'!$B$2:$I$346,8,FALSE)," ")</f>
        <v>7</v>
      </c>
      <c r="L485" s="118" t="str">
        <f>IFERROR(VLOOKUP(J485,'[1]ABC Master Lists'!$AQ$2:$AS$12,3,FALSE)," ")</f>
        <v>+</v>
      </c>
      <c r="M485" s="118" t="str">
        <f>IFERROR(VLOOKUP(K485,'[1]ABC Master Lists'!$AD$2:$AE$22,2,FALSE), " ")</f>
        <v>+</v>
      </c>
    </row>
    <row r="486" spans="4:13" x14ac:dyDescent="0.25">
      <c r="E486" s="24" t="s">
        <v>33</v>
      </c>
      <c r="F486" s="4">
        <v>0.25</v>
      </c>
      <c r="G486" s="32" t="s">
        <v>54</v>
      </c>
      <c r="H486" s="36" t="s">
        <v>57</v>
      </c>
      <c r="J486" s="79" t="str">
        <f>IFERROR(VLOOKUP(I486,'[1]ABC Master Lists'!$B$2:$I$346,4,FALSE)," ")</f>
        <v xml:space="preserve"> </v>
      </c>
      <c r="K486" s="79" t="str">
        <f>IFERROR(VLOOKUP(I486,'[1]ABC Master Lists'!$B$2:$I$346,8,FALSE)," ")</f>
        <v xml:space="preserve"> </v>
      </c>
      <c r="L486" s="118" t="str">
        <f>IFERROR(VLOOKUP(J486,'[1]ABC Master Lists'!$AQ$2:$AS$12,3,FALSE)," ")</f>
        <v xml:space="preserve"> </v>
      </c>
      <c r="M486" s="118" t="str">
        <f>IFERROR(VLOOKUP(K486,'[1]ABC Master Lists'!$AD$2:$AE$22,2,FALSE), " ")</f>
        <v xml:space="preserve"> </v>
      </c>
    </row>
    <row r="487" spans="4:13" x14ac:dyDescent="0.25">
      <c r="D487" s="28">
        <v>23</v>
      </c>
      <c r="E487" s="31" t="s">
        <v>12</v>
      </c>
      <c r="F487" s="20">
        <v>40</v>
      </c>
      <c r="G487" s="34" t="s">
        <v>7</v>
      </c>
      <c r="H487" s="38" t="s">
        <v>57</v>
      </c>
      <c r="I487" s="38">
        <v>217</v>
      </c>
      <c r="J487" s="83">
        <f>IFERROR(VLOOKUP(I487,'[1]ABC Master Lists'!$B$2:$I$346,4,FALSE)," ")</f>
        <v>28</v>
      </c>
      <c r="K487" s="83">
        <f>IFERROR(VLOOKUP(I487,'[1]ABC Master Lists'!$B$2:$I$346,8,FALSE)," ")</f>
        <v>7</v>
      </c>
      <c r="L487" s="122" t="str">
        <f>IFERROR(VLOOKUP(J487,'[1]ABC Master Lists'!$AQ$2:$AS$12,3,FALSE)," ")</f>
        <v>+</v>
      </c>
      <c r="M487" s="122" t="str">
        <f>IFERROR(VLOOKUP(K487,'[1]ABC Master Lists'!$AD$2:$AE$22,2,FALSE), " ")</f>
        <v>+</v>
      </c>
    </row>
    <row r="488" spans="4:13" x14ac:dyDescent="0.25">
      <c r="D488" s="29"/>
      <c r="E488" s="25" t="s">
        <v>33</v>
      </c>
      <c r="F488" s="23">
        <v>0.25</v>
      </c>
      <c r="G488" s="35" t="s">
        <v>54</v>
      </c>
      <c r="H488" s="39" t="s">
        <v>57</v>
      </c>
      <c r="I488" s="39"/>
      <c r="J488" s="82" t="str">
        <f>IFERROR(VLOOKUP(I488,'[1]ABC Master Lists'!$B$2:$I$346,4,FALSE)," ")</f>
        <v xml:space="preserve"> </v>
      </c>
      <c r="K488" s="82" t="str">
        <f>IFERROR(VLOOKUP(I488,'[1]ABC Master Lists'!$B$2:$I$346,8,FALSE)," ")</f>
        <v xml:space="preserve"> </v>
      </c>
      <c r="L488" s="121" t="str">
        <f>IFERROR(VLOOKUP(J488,'[1]ABC Master Lists'!$AQ$2:$AS$12,3,FALSE)," ")</f>
        <v xml:space="preserve"> </v>
      </c>
      <c r="M488" s="121" t="str">
        <f>IFERROR(VLOOKUP(K488,'[1]ABC Master Lists'!$AD$2:$AE$22,2,FALSE), " ")</f>
        <v xml:space="preserve"> </v>
      </c>
    </row>
    <row r="489" spans="4:13" x14ac:dyDescent="0.25">
      <c r="D489" s="26">
        <v>24</v>
      </c>
      <c r="E489" s="24" t="s">
        <v>12</v>
      </c>
      <c r="F489" s="4">
        <v>20</v>
      </c>
      <c r="G489" s="32" t="s">
        <v>7</v>
      </c>
      <c r="H489" s="36" t="s">
        <v>5</v>
      </c>
      <c r="I489" s="36">
        <v>212</v>
      </c>
      <c r="J489" s="79">
        <f>IFERROR(VLOOKUP(I489,'[1]ABC Master Lists'!$B$2:$I$346,4,FALSE)," ")</f>
        <v>28</v>
      </c>
      <c r="K489" s="79">
        <f>IFERROR(VLOOKUP(I489,'[1]ABC Master Lists'!$B$2:$I$346,8,FALSE)," ")</f>
        <v>67</v>
      </c>
      <c r="L489" s="118" t="str">
        <f>IFERROR(VLOOKUP(J489,'[1]ABC Master Lists'!$AQ$2:$AS$12,3,FALSE)," ")</f>
        <v>+</v>
      </c>
      <c r="M489" s="118" t="str">
        <f>IFERROR(VLOOKUP(K489,'[1]ABC Master Lists'!$AD$2:$AE$22,2,FALSE), " ")</f>
        <v>+</v>
      </c>
    </row>
    <row r="490" spans="4:13" x14ac:dyDescent="0.25">
      <c r="E490" s="24" t="s">
        <v>33</v>
      </c>
      <c r="F490" s="4">
        <v>0.25</v>
      </c>
      <c r="G490" s="32" t="s">
        <v>54</v>
      </c>
      <c r="H490" s="36" t="s">
        <v>5</v>
      </c>
      <c r="J490" s="79" t="str">
        <f>IFERROR(VLOOKUP(I490,'[1]ABC Master Lists'!$B$2:$I$346,4,FALSE)," ")</f>
        <v xml:space="preserve"> </v>
      </c>
      <c r="K490" s="79" t="str">
        <f>IFERROR(VLOOKUP(I490,'[1]ABC Master Lists'!$B$2:$I$346,8,FALSE)," ")</f>
        <v xml:space="preserve"> </v>
      </c>
      <c r="L490" s="118" t="str">
        <f>IFERROR(VLOOKUP(J490,'[1]ABC Master Lists'!$AQ$2:$AS$12,3,FALSE)," ")</f>
        <v xml:space="preserve"> </v>
      </c>
      <c r="M490" s="118" t="str">
        <f>IFERROR(VLOOKUP(K490,'[1]ABC Master Lists'!$AD$2:$AE$22,2,FALSE), " ")</f>
        <v xml:space="preserve"> </v>
      </c>
    </row>
    <row r="491" spans="4:13" x14ac:dyDescent="0.25">
      <c r="E491" s="24" t="s">
        <v>12</v>
      </c>
      <c r="F491" s="4">
        <v>20</v>
      </c>
      <c r="G491" s="32" t="s">
        <v>7</v>
      </c>
      <c r="H491" s="36" t="s">
        <v>57</v>
      </c>
      <c r="J491" s="79" t="str">
        <f>IFERROR(VLOOKUP(I491,'[1]ABC Master Lists'!$B$2:$I$346,4,FALSE)," ")</f>
        <v xml:space="preserve"> </v>
      </c>
      <c r="K491" s="79" t="str">
        <f>IFERROR(VLOOKUP(I491,'[1]ABC Master Lists'!$B$2:$I$346,8,FALSE)," ")</f>
        <v xml:space="preserve"> </v>
      </c>
      <c r="L491" s="118" t="str">
        <f>IFERROR(VLOOKUP(J491,'[1]ABC Master Lists'!$AQ$2:$AS$12,3,FALSE)," ")</f>
        <v xml:space="preserve"> </v>
      </c>
      <c r="M491" s="118" t="str">
        <f>IFERROR(VLOOKUP(K491,'[1]ABC Master Lists'!$AD$2:$AE$22,2,FALSE), " ")</f>
        <v xml:space="preserve"> </v>
      </c>
    </row>
    <row r="492" spans="4:13" x14ac:dyDescent="0.25">
      <c r="E492" s="24" t="s">
        <v>33</v>
      </c>
      <c r="F492" s="4">
        <v>0.25</v>
      </c>
      <c r="G492" s="32" t="s">
        <v>54</v>
      </c>
      <c r="H492" s="36" t="s">
        <v>57</v>
      </c>
      <c r="J492" s="79" t="str">
        <f>IFERROR(VLOOKUP(I492,'[1]ABC Master Lists'!$B$2:$I$346,4,FALSE)," ")</f>
        <v xml:space="preserve"> </v>
      </c>
      <c r="K492" s="79" t="str">
        <f>IFERROR(VLOOKUP(I492,'[1]ABC Master Lists'!$B$2:$I$346,8,FALSE)," ")</f>
        <v xml:space="preserve"> </v>
      </c>
      <c r="L492" s="118" t="str">
        <f>IFERROR(VLOOKUP(J492,'[1]ABC Master Lists'!$AQ$2:$AS$12,3,FALSE)," ")</f>
        <v xml:space="preserve"> </v>
      </c>
      <c r="M492" s="118" t="str">
        <f>IFERROR(VLOOKUP(K492,'[1]ABC Master Lists'!$AD$2:$AE$22,2,FALSE), " ")</f>
        <v xml:space="preserve"> </v>
      </c>
    </row>
    <row r="493" spans="4:13" x14ac:dyDescent="0.25">
      <c r="D493" s="28">
        <v>25</v>
      </c>
      <c r="E493" s="31" t="s">
        <v>12</v>
      </c>
      <c r="F493" s="20">
        <v>30</v>
      </c>
      <c r="G493" s="34" t="s">
        <v>7</v>
      </c>
      <c r="H493" s="38" t="s">
        <v>5</v>
      </c>
      <c r="I493" s="38">
        <v>215</v>
      </c>
      <c r="J493" s="83">
        <f>IFERROR(VLOOKUP(I493,'[1]ABC Master Lists'!$B$2:$I$346,4,FALSE)," ")</f>
        <v>28</v>
      </c>
      <c r="K493" s="83">
        <f>IFERROR(VLOOKUP(I493,'[1]ABC Master Lists'!$B$2:$I$346,8,FALSE)," ")</f>
        <v>67</v>
      </c>
      <c r="L493" s="122" t="str">
        <f>IFERROR(VLOOKUP(J493,'[1]ABC Master Lists'!$AQ$2:$AS$12,3,FALSE)," ")</f>
        <v>+</v>
      </c>
      <c r="M493" s="122" t="str">
        <f>IFERROR(VLOOKUP(K493,'[1]ABC Master Lists'!$AD$2:$AE$22,2,FALSE), " ")</f>
        <v>+</v>
      </c>
    </row>
    <row r="494" spans="4:13" x14ac:dyDescent="0.25">
      <c r="E494" s="24" t="s">
        <v>33</v>
      </c>
      <c r="F494" s="4">
        <v>0.25</v>
      </c>
      <c r="G494" s="32" t="s">
        <v>54</v>
      </c>
      <c r="H494" s="36" t="s">
        <v>5</v>
      </c>
      <c r="J494" s="79" t="str">
        <f>IFERROR(VLOOKUP(I494,'[1]ABC Master Lists'!$B$2:$I$346,4,FALSE)," ")</f>
        <v xml:space="preserve"> </v>
      </c>
      <c r="K494" s="79" t="str">
        <f>IFERROR(VLOOKUP(I494,'[1]ABC Master Lists'!$B$2:$I$346,8,FALSE)," ")</f>
        <v xml:space="preserve"> </v>
      </c>
      <c r="L494" s="118" t="str">
        <f>IFERROR(VLOOKUP(J494,'[1]ABC Master Lists'!$AQ$2:$AS$12,3,FALSE)," ")</f>
        <v xml:space="preserve"> </v>
      </c>
      <c r="M494" s="118" t="str">
        <f>IFERROR(VLOOKUP(K494,'[1]ABC Master Lists'!$AD$2:$AE$22,2,FALSE), " ")</f>
        <v xml:space="preserve"> </v>
      </c>
    </row>
    <row r="495" spans="4:13" x14ac:dyDescent="0.25">
      <c r="E495" s="24" t="s">
        <v>12</v>
      </c>
      <c r="F495" s="4">
        <v>30</v>
      </c>
      <c r="G495" s="32" t="s">
        <v>7</v>
      </c>
      <c r="H495" s="36" t="s">
        <v>57</v>
      </c>
      <c r="J495" s="79" t="str">
        <f>IFERROR(VLOOKUP(I495,'[1]ABC Master Lists'!$B$2:$I$346,4,FALSE)," ")</f>
        <v xml:space="preserve"> </v>
      </c>
      <c r="K495" s="79" t="str">
        <f>IFERROR(VLOOKUP(I495,'[1]ABC Master Lists'!$B$2:$I$346,8,FALSE)," ")</f>
        <v xml:space="preserve"> </v>
      </c>
      <c r="L495" s="118" t="str">
        <f>IFERROR(VLOOKUP(J495,'[1]ABC Master Lists'!$AQ$2:$AS$12,3,FALSE)," ")</f>
        <v xml:space="preserve"> </v>
      </c>
      <c r="M495" s="118" t="str">
        <f>IFERROR(VLOOKUP(K495,'[1]ABC Master Lists'!$AD$2:$AE$22,2,FALSE), " ")</f>
        <v xml:space="preserve"> </v>
      </c>
    </row>
    <row r="496" spans="4:13" x14ac:dyDescent="0.25">
      <c r="D496" s="29"/>
      <c r="E496" s="25" t="s">
        <v>33</v>
      </c>
      <c r="F496" s="23">
        <v>0.25</v>
      </c>
      <c r="G496" s="35" t="s">
        <v>54</v>
      </c>
      <c r="H496" s="39" t="s">
        <v>57</v>
      </c>
      <c r="I496" s="39"/>
      <c r="J496" s="82" t="str">
        <f>IFERROR(VLOOKUP(I496,'[1]ABC Master Lists'!$B$2:$I$346,4,FALSE)," ")</f>
        <v xml:space="preserve"> </v>
      </c>
      <c r="K496" s="82" t="str">
        <f>IFERROR(VLOOKUP(I496,'[1]ABC Master Lists'!$B$2:$I$346,8,FALSE)," ")</f>
        <v xml:space="preserve"> </v>
      </c>
      <c r="L496" s="121" t="str">
        <f>IFERROR(VLOOKUP(J496,'[1]ABC Master Lists'!$AQ$2:$AS$12,3,FALSE)," ")</f>
        <v xml:space="preserve"> </v>
      </c>
      <c r="M496" s="121" t="str">
        <f>IFERROR(VLOOKUP(K496,'[1]ABC Master Lists'!$AD$2:$AE$22,2,FALSE), " ")</f>
        <v xml:space="preserve"> </v>
      </c>
    </row>
    <row r="497" spans="4:13" x14ac:dyDescent="0.25">
      <c r="D497" s="26">
        <v>26</v>
      </c>
      <c r="E497" s="24" t="s">
        <v>12</v>
      </c>
      <c r="F497" s="4">
        <v>20</v>
      </c>
      <c r="G497" s="32" t="s">
        <v>7</v>
      </c>
      <c r="H497" s="36" t="s">
        <v>5</v>
      </c>
      <c r="I497" s="36">
        <v>220</v>
      </c>
      <c r="J497" s="79">
        <f>IFERROR(VLOOKUP(I497,'[1]ABC Master Lists'!$B$2:$I$346,4,FALSE)," ")</f>
        <v>284</v>
      </c>
      <c r="K497" s="79">
        <f>IFERROR(VLOOKUP(I497,'[1]ABC Master Lists'!$B$2:$I$346,8,FALSE)," ")</f>
        <v>67</v>
      </c>
      <c r="L497" s="118" t="str">
        <f>IFERROR(VLOOKUP(J497,'[1]ABC Master Lists'!$AQ$2:$AS$12,3,FALSE)," ")</f>
        <v xml:space="preserve"> </v>
      </c>
      <c r="M497" s="118" t="str">
        <f>IFERROR(VLOOKUP(K497,'[1]ABC Master Lists'!$AD$2:$AE$22,2,FALSE), " ")</f>
        <v>+</v>
      </c>
    </row>
    <row r="498" spans="4:13" x14ac:dyDescent="0.25">
      <c r="E498" s="24" t="s">
        <v>33</v>
      </c>
      <c r="F498" s="4">
        <v>0.25</v>
      </c>
      <c r="G498" s="32" t="s">
        <v>54</v>
      </c>
      <c r="H498" s="36" t="s">
        <v>5</v>
      </c>
      <c r="J498" s="79" t="str">
        <f>IFERROR(VLOOKUP(I498,'[1]ABC Master Lists'!$B$2:$I$346,4,FALSE)," ")</f>
        <v xml:space="preserve"> </v>
      </c>
      <c r="K498" s="79" t="str">
        <f>IFERROR(VLOOKUP(I498,'[1]ABC Master Lists'!$B$2:$I$346,8,FALSE)," ")</f>
        <v xml:space="preserve"> </v>
      </c>
      <c r="L498" s="118" t="str">
        <f>IFERROR(VLOOKUP(J498,'[1]ABC Master Lists'!$AQ$2:$AS$12,3,FALSE)," ")</f>
        <v xml:space="preserve"> </v>
      </c>
      <c r="M498" s="118" t="str">
        <f>IFERROR(VLOOKUP(K498,'[1]ABC Master Lists'!$AD$2:$AE$22,2,FALSE), " ")</f>
        <v xml:space="preserve"> </v>
      </c>
    </row>
    <row r="499" spans="4:13" x14ac:dyDescent="0.25">
      <c r="E499" s="24" t="s">
        <v>87</v>
      </c>
      <c r="F499" s="4">
        <v>8</v>
      </c>
      <c r="G499" s="32" t="s">
        <v>7</v>
      </c>
      <c r="H499" s="36" t="s">
        <v>57</v>
      </c>
      <c r="J499" s="79" t="str">
        <f>IFERROR(VLOOKUP(I499,'[1]ABC Master Lists'!$B$2:$I$346,4,FALSE)," ")</f>
        <v xml:space="preserve"> </v>
      </c>
      <c r="K499" s="79" t="str">
        <f>IFERROR(VLOOKUP(I499,'[1]ABC Master Lists'!$B$2:$I$346,8,FALSE)," ")</f>
        <v xml:space="preserve"> </v>
      </c>
      <c r="L499" s="118" t="str">
        <f>IFERROR(VLOOKUP(J499,'[1]ABC Master Lists'!$AQ$2:$AS$12,3,FALSE)," ")</f>
        <v xml:space="preserve"> </v>
      </c>
      <c r="M499" s="118" t="str">
        <f>IFERROR(VLOOKUP(K499,'[1]ABC Master Lists'!$AD$2:$AE$22,2,FALSE), " ")</f>
        <v xml:space="preserve"> </v>
      </c>
    </row>
    <row r="500" spans="4:13" x14ac:dyDescent="0.25">
      <c r="E500" s="24" t="s">
        <v>33</v>
      </c>
      <c r="F500" s="4">
        <v>0.25</v>
      </c>
      <c r="G500" s="32" t="s">
        <v>54</v>
      </c>
      <c r="H500" s="36" t="s">
        <v>57</v>
      </c>
      <c r="J500" s="79" t="str">
        <f>IFERROR(VLOOKUP(I500,'[1]ABC Master Lists'!$B$2:$I$346,4,FALSE)," ")</f>
        <v xml:space="preserve"> </v>
      </c>
      <c r="K500" s="79" t="str">
        <f>IFERROR(VLOOKUP(I500,'[1]ABC Master Lists'!$B$2:$I$346,8,FALSE)," ")</f>
        <v xml:space="preserve"> </v>
      </c>
      <c r="L500" s="118" t="str">
        <f>IFERROR(VLOOKUP(J500,'[1]ABC Master Lists'!$AQ$2:$AS$12,3,FALSE)," ")</f>
        <v xml:space="preserve"> </v>
      </c>
      <c r="M500" s="118" t="str">
        <f>IFERROR(VLOOKUP(K500,'[1]ABC Master Lists'!$AD$2:$AE$22,2,FALSE), " ")</f>
        <v xml:space="preserve"> </v>
      </c>
    </row>
    <row r="501" spans="4:13" x14ac:dyDescent="0.25">
      <c r="D501" s="28">
        <v>27</v>
      </c>
      <c r="E501" s="31" t="s">
        <v>88</v>
      </c>
      <c r="F501" s="20">
        <v>9</v>
      </c>
      <c r="G501" s="34" t="s">
        <v>7</v>
      </c>
      <c r="H501" s="38" t="s">
        <v>5</v>
      </c>
      <c r="I501" s="38">
        <v>23</v>
      </c>
      <c r="J501" s="83">
        <f>IFERROR(VLOOKUP(I501,'[1]ABC Master Lists'!$B$2:$I$346,4,FALSE)," ")</f>
        <v>20</v>
      </c>
      <c r="K501" s="83">
        <f>IFERROR(VLOOKUP(I501,'[1]ABC Master Lists'!$B$2:$I$346,8,FALSE)," ")</f>
        <v>68</v>
      </c>
      <c r="L501" s="122" t="str">
        <f>IFERROR(VLOOKUP(J501,'[1]ABC Master Lists'!$AQ$2:$AS$12,3,FALSE)," ")</f>
        <v>+</v>
      </c>
      <c r="M501" s="122" t="str">
        <f>IFERROR(VLOOKUP(K501,'[1]ABC Master Lists'!$AD$2:$AE$22,2,FALSE), " ")</f>
        <v>+</v>
      </c>
    </row>
    <row r="502" spans="4:13" x14ac:dyDescent="0.25">
      <c r="E502" s="24" t="s">
        <v>33</v>
      </c>
      <c r="F502" s="4">
        <v>0.25</v>
      </c>
      <c r="G502" s="32" t="s">
        <v>54</v>
      </c>
      <c r="H502" s="36" t="s">
        <v>5</v>
      </c>
      <c r="J502" s="79" t="str">
        <f>IFERROR(VLOOKUP(I502,'[1]ABC Master Lists'!$B$2:$I$346,4,FALSE)," ")</f>
        <v xml:space="preserve"> </v>
      </c>
      <c r="K502" s="79" t="str">
        <f>IFERROR(VLOOKUP(I502,'[1]ABC Master Lists'!$B$2:$I$346,8,FALSE)," ")</f>
        <v xml:space="preserve"> </v>
      </c>
      <c r="L502" s="118" t="str">
        <f>IFERROR(VLOOKUP(J502,'[1]ABC Master Lists'!$AQ$2:$AS$12,3,FALSE)," ")</f>
        <v xml:space="preserve"> </v>
      </c>
      <c r="M502" s="118" t="str">
        <f>IFERROR(VLOOKUP(K502,'[1]ABC Master Lists'!$AD$2:$AE$22,2,FALSE), " ")</f>
        <v xml:space="preserve"> </v>
      </c>
    </row>
    <row r="503" spans="4:13" x14ac:dyDescent="0.25">
      <c r="E503" s="24" t="s">
        <v>89</v>
      </c>
      <c r="F503" s="4">
        <v>9</v>
      </c>
      <c r="G503" s="32" t="s">
        <v>7</v>
      </c>
      <c r="H503" s="36" t="s">
        <v>20</v>
      </c>
      <c r="J503" s="79" t="str">
        <f>IFERROR(VLOOKUP(I503,'[1]ABC Master Lists'!$B$2:$I$346,4,FALSE)," ")</f>
        <v xml:space="preserve"> </v>
      </c>
      <c r="K503" s="79" t="str">
        <f>IFERROR(VLOOKUP(I503,'[1]ABC Master Lists'!$B$2:$I$346,8,FALSE)," ")</f>
        <v xml:space="preserve"> </v>
      </c>
      <c r="L503" s="118" t="str">
        <f>IFERROR(VLOOKUP(J503,'[1]ABC Master Lists'!$AQ$2:$AS$12,3,FALSE)," ")</f>
        <v xml:space="preserve"> </v>
      </c>
      <c r="M503" s="118" t="str">
        <f>IFERROR(VLOOKUP(K503,'[1]ABC Master Lists'!$AD$2:$AE$22,2,FALSE), " ")</f>
        <v xml:space="preserve"> </v>
      </c>
    </row>
    <row r="504" spans="4:13" x14ac:dyDescent="0.25">
      <c r="D504" s="29"/>
      <c r="E504" s="25" t="s">
        <v>33</v>
      </c>
      <c r="F504" s="23">
        <v>0.25</v>
      </c>
      <c r="G504" s="35" t="s">
        <v>54</v>
      </c>
      <c r="H504" s="39" t="s">
        <v>20</v>
      </c>
      <c r="I504" s="39"/>
      <c r="J504" s="82" t="str">
        <f>IFERROR(VLOOKUP(I504,'[1]ABC Master Lists'!$B$2:$I$346,4,FALSE)," ")</f>
        <v xml:space="preserve"> </v>
      </c>
      <c r="K504" s="82" t="str">
        <f>IFERROR(VLOOKUP(I504,'[1]ABC Master Lists'!$B$2:$I$346,8,FALSE)," ")</f>
        <v xml:space="preserve"> </v>
      </c>
      <c r="L504" s="121" t="str">
        <f>IFERROR(VLOOKUP(J504,'[1]ABC Master Lists'!$AQ$2:$AS$12,3,FALSE)," ")</f>
        <v xml:space="preserve"> </v>
      </c>
      <c r="M504" s="121" t="str">
        <f>IFERROR(VLOOKUP(K504,'[1]ABC Master Lists'!$AD$2:$AE$22,2,FALSE), " ")</f>
        <v xml:space="preserve"> </v>
      </c>
    </row>
    <row r="505" spans="4:13" x14ac:dyDescent="0.25">
      <c r="D505" s="26">
        <v>28</v>
      </c>
      <c r="E505" s="24" t="s">
        <v>90</v>
      </c>
      <c r="F505" s="4">
        <v>6</v>
      </c>
      <c r="G505" s="32" t="s">
        <v>7</v>
      </c>
      <c r="H505" s="36" t="s">
        <v>5</v>
      </c>
      <c r="I505" s="36">
        <v>62</v>
      </c>
      <c r="J505" s="79">
        <f>IFERROR(VLOOKUP(I505,'[1]ABC Master Lists'!$B$2:$I$346,4,FALSE)," ")</f>
        <v>1820</v>
      </c>
      <c r="K505" s="79">
        <f>IFERROR(VLOOKUP(I505,'[1]ABC Master Lists'!$B$2:$I$346,8,FALSE)," ")</f>
        <v>68</v>
      </c>
      <c r="L505" s="118" t="str">
        <f>IFERROR(VLOOKUP(J505,'[1]ABC Master Lists'!$AQ$2:$AS$12,3,FALSE)," ")</f>
        <v xml:space="preserve"> </v>
      </c>
      <c r="M505" s="118" t="str">
        <f>IFERROR(VLOOKUP(K505,'[1]ABC Master Lists'!$AD$2:$AE$22,2,FALSE), " ")</f>
        <v>+</v>
      </c>
    </row>
    <row r="506" spans="4:13" x14ac:dyDescent="0.25">
      <c r="E506" s="24" t="s">
        <v>33</v>
      </c>
      <c r="F506" s="4">
        <v>0.25</v>
      </c>
      <c r="G506" s="32" t="s">
        <v>54</v>
      </c>
      <c r="H506" s="36" t="s">
        <v>5</v>
      </c>
      <c r="J506" s="79" t="str">
        <f>IFERROR(VLOOKUP(I506,'[1]ABC Master Lists'!$B$2:$I$346,4,FALSE)," ")</f>
        <v xml:space="preserve"> </v>
      </c>
      <c r="K506" s="79" t="str">
        <f>IFERROR(VLOOKUP(I506,'[1]ABC Master Lists'!$B$2:$I$346,8,FALSE)," ")</f>
        <v xml:space="preserve"> </v>
      </c>
      <c r="L506" s="118" t="str">
        <f>IFERROR(VLOOKUP(J506,'[1]ABC Master Lists'!$AQ$2:$AS$12,3,FALSE)," ")</f>
        <v xml:space="preserve"> </v>
      </c>
      <c r="M506" s="118" t="str">
        <f>IFERROR(VLOOKUP(K506,'[1]ABC Master Lists'!$AD$2:$AE$22,2,FALSE), " ")</f>
        <v xml:space="preserve"> </v>
      </c>
    </row>
    <row r="507" spans="4:13" x14ac:dyDescent="0.25">
      <c r="E507" s="24" t="s">
        <v>89</v>
      </c>
      <c r="F507" s="4">
        <v>9</v>
      </c>
      <c r="G507" s="32" t="s">
        <v>7</v>
      </c>
      <c r="H507" s="36" t="s">
        <v>20</v>
      </c>
      <c r="J507" s="79" t="str">
        <f>IFERROR(VLOOKUP(I507,'[1]ABC Master Lists'!$B$2:$I$346,4,FALSE)," ")</f>
        <v xml:space="preserve"> </v>
      </c>
      <c r="K507" s="79" t="str">
        <f>IFERROR(VLOOKUP(I507,'[1]ABC Master Lists'!$B$2:$I$346,8,FALSE)," ")</f>
        <v xml:space="preserve"> </v>
      </c>
      <c r="L507" s="118" t="str">
        <f>IFERROR(VLOOKUP(J507,'[1]ABC Master Lists'!$AQ$2:$AS$12,3,FALSE)," ")</f>
        <v xml:space="preserve"> </v>
      </c>
      <c r="M507" s="118" t="str">
        <f>IFERROR(VLOOKUP(K507,'[1]ABC Master Lists'!$AD$2:$AE$22,2,FALSE), " ")</f>
        <v xml:space="preserve"> </v>
      </c>
    </row>
    <row r="508" spans="4:13" x14ac:dyDescent="0.25">
      <c r="E508" s="24" t="s">
        <v>33</v>
      </c>
      <c r="F508" s="4">
        <v>0.25</v>
      </c>
      <c r="G508" s="32" t="s">
        <v>54</v>
      </c>
      <c r="H508" s="36" t="s">
        <v>20</v>
      </c>
      <c r="J508" s="79" t="str">
        <f>IFERROR(VLOOKUP(I508,'[1]ABC Master Lists'!$B$2:$I$346,4,FALSE)," ")</f>
        <v xml:space="preserve"> </v>
      </c>
      <c r="K508" s="79" t="str">
        <f>IFERROR(VLOOKUP(I508,'[1]ABC Master Lists'!$B$2:$I$346,8,FALSE)," ")</f>
        <v xml:space="preserve"> </v>
      </c>
      <c r="L508" s="118" t="str">
        <f>IFERROR(VLOOKUP(J508,'[1]ABC Master Lists'!$AQ$2:$AS$12,3,FALSE)," ")</f>
        <v xml:space="preserve"> </v>
      </c>
      <c r="M508" s="118" t="str">
        <f>IFERROR(VLOOKUP(K508,'[1]ABC Master Lists'!$AD$2:$AE$22,2,FALSE), " ")</f>
        <v xml:space="preserve"> </v>
      </c>
    </row>
    <row r="509" spans="4:13" x14ac:dyDescent="0.25">
      <c r="D509" s="28">
        <v>29</v>
      </c>
      <c r="E509" s="31" t="s">
        <v>91</v>
      </c>
      <c r="F509" s="20">
        <v>6</v>
      </c>
      <c r="G509" s="34" t="s">
        <v>7</v>
      </c>
      <c r="H509" s="38" t="s">
        <v>5</v>
      </c>
      <c r="I509" s="38">
        <v>52</v>
      </c>
      <c r="J509" s="83">
        <f>IFERROR(VLOOKUP(I509,'[1]ABC Master Lists'!$B$2:$I$346,4,FALSE)," ")</f>
        <v>18</v>
      </c>
      <c r="K509" s="83">
        <f>IFERROR(VLOOKUP(I509,'[1]ABC Master Lists'!$B$2:$I$346,8,FALSE)," ")</f>
        <v>6</v>
      </c>
      <c r="L509" s="122" t="str">
        <f>IFERROR(VLOOKUP(J509,'[1]ABC Master Lists'!$AQ$2:$AS$12,3,FALSE)," ")</f>
        <v>+</v>
      </c>
      <c r="M509" s="122" t="str">
        <f>IFERROR(VLOOKUP(K509,'[1]ABC Master Lists'!$AD$2:$AE$22,2,FALSE), " ")</f>
        <v>+</v>
      </c>
    </row>
    <row r="510" spans="4:13" x14ac:dyDescent="0.25">
      <c r="D510" s="29"/>
      <c r="E510" s="25" t="s">
        <v>33</v>
      </c>
      <c r="F510" s="23">
        <v>0.25</v>
      </c>
      <c r="G510" s="35" t="s">
        <v>54</v>
      </c>
      <c r="H510" s="39" t="s">
        <v>5</v>
      </c>
      <c r="I510" s="39"/>
      <c r="J510" s="82" t="str">
        <f>IFERROR(VLOOKUP(I510,'[1]ABC Master Lists'!$B$2:$I$346,4,FALSE)," ")</f>
        <v xml:space="preserve"> </v>
      </c>
      <c r="K510" s="82" t="str">
        <f>IFERROR(VLOOKUP(I510,'[1]ABC Master Lists'!$B$2:$I$346,8,FALSE)," ")</f>
        <v xml:space="preserve"> </v>
      </c>
      <c r="L510" s="121" t="str">
        <f>IFERROR(VLOOKUP(J510,'[1]ABC Master Lists'!$AQ$2:$AS$12,3,FALSE)," ")</f>
        <v xml:space="preserve"> </v>
      </c>
      <c r="M510" s="121" t="str">
        <f>IFERROR(VLOOKUP(K510,'[1]ABC Master Lists'!$AD$2:$AE$22,2,FALSE), " ")</f>
        <v xml:space="preserve"> </v>
      </c>
    </row>
    <row r="511" spans="4:13" x14ac:dyDescent="0.25">
      <c r="D511" s="26">
        <v>30</v>
      </c>
      <c r="E511" s="24" t="s">
        <v>90</v>
      </c>
      <c r="F511" s="4">
        <v>6</v>
      </c>
      <c r="G511" s="32" t="s">
        <v>7</v>
      </c>
      <c r="H511" s="36" t="s">
        <v>5</v>
      </c>
      <c r="I511" s="36">
        <v>65</v>
      </c>
      <c r="J511" s="79">
        <f>IFERROR(VLOOKUP(I511,'[1]ABC Master Lists'!$B$2:$I$346,4,FALSE)," ")</f>
        <v>184</v>
      </c>
      <c r="K511" s="79">
        <f>IFERROR(VLOOKUP(I511,'[1]ABC Master Lists'!$B$2:$I$346,8,FALSE)," ")</f>
        <v>6</v>
      </c>
      <c r="L511" s="118" t="str">
        <f>IFERROR(VLOOKUP(J511,'[1]ABC Master Lists'!$AQ$2:$AS$12,3,FALSE)," ")</f>
        <v xml:space="preserve"> </v>
      </c>
      <c r="M511" s="118" t="str">
        <f>IFERROR(VLOOKUP(K511,'[1]ABC Master Lists'!$AD$2:$AE$22,2,FALSE), " ")</f>
        <v>+</v>
      </c>
    </row>
    <row r="512" spans="4:13" x14ac:dyDescent="0.25">
      <c r="E512" s="24" t="s">
        <v>10</v>
      </c>
      <c r="F512" s="4">
        <v>8</v>
      </c>
      <c r="G512" s="32" t="s">
        <v>7</v>
      </c>
      <c r="H512" s="36" t="s">
        <v>5</v>
      </c>
      <c r="J512" s="79" t="str">
        <f>IFERROR(VLOOKUP(I512,'[1]ABC Master Lists'!$B$2:$I$346,4,FALSE)," ")</f>
        <v xml:space="preserve"> </v>
      </c>
      <c r="K512" s="79" t="str">
        <f>IFERROR(VLOOKUP(I512,'[1]ABC Master Lists'!$B$2:$I$346,8,FALSE)," ")</f>
        <v xml:space="preserve"> </v>
      </c>
      <c r="L512" s="118" t="str">
        <f>IFERROR(VLOOKUP(J512,'[1]ABC Master Lists'!$AQ$2:$AS$12,3,FALSE)," ")</f>
        <v xml:space="preserve"> </v>
      </c>
      <c r="M512" s="118" t="str">
        <f>IFERROR(VLOOKUP(K512,'[1]ABC Master Lists'!$AD$2:$AE$22,2,FALSE), " ")</f>
        <v xml:space="preserve"> </v>
      </c>
    </row>
    <row r="513" spans="1:13" x14ac:dyDescent="0.25">
      <c r="E513" s="24" t="s">
        <v>33</v>
      </c>
      <c r="F513" s="4">
        <v>0.25</v>
      </c>
      <c r="G513" s="32" t="s">
        <v>54</v>
      </c>
      <c r="H513" s="36" t="s">
        <v>5</v>
      </c>
      <c r="J513" s="79" t="str">
        <f>IFERROR(VLOOKUP(I513,'[1]ABC Master Lists'!$B$2:$I$346,4,FALSE)," ")</f>
        <v xml:space="preserve"> </v>
      </c>
      <c r="K513" s="79" t="str">
        <f>IFERROR(VLOOKUP(I513,'[1]ABC Master Lists'!$B$2:$I$346,8,FALSE)," ")</f>
        <v xml:space="preserve"> </v>
      </c>
      <c r="L513" s="118" t="str">
        <f>IFERROR(VLOOKUP(J513,'[1]ABC Master Lists'!$AQ$2:$AS$12,3,FALSE)," ")</f>
        <v xml:space="preserve"> </v>
      </c>
      <c r="M513" s="118" t="str">
        <f>IFERROR(VLOOKUP(K513,'[1]ABC Master Lists'!$AD$2:$AE$22,2,FALSE), " ")</f>
        <v xml:space="preserve"> </v>
      </c>
    </row>
    <row r="514" spans="1:13" x14ac:dyDescent="0.25">
      <c r="D514" s="28">
        <v>31</v>
      </c>
      <c r="E514" s="31" t="s">
        <v>92</v>
      </c>
      <c r="F514" s="20">
        <v>8</v>
      </c>
      <c r="G514" s="34" t="s">
        <v>7</v>
      </c>
      <c r="H514" s="38" t="s">
        <v>5</v>
      </c>
      <c r="I514" s="38">
        <v>90</v>
      </c>
      <c r="J514" s="83">
        <f>IFERROR(VLOOKUP(I514,'[1]ABC Master Lists'!$B$2:$I$346,4,FALSE)," ")</f>
        <v>4</v>
      </c>
      <c r="K514" s="83">
        <f>IFERROR(VLOOKUP(I514,'[1]ABC Master Lists'!$B$2:$I$346,8,FALSE)," ")</f>
        <v>6</v>
      </c>
      <c r="L514" s="122" t="str">
        <f>IFERROR(VLOOKUP(J514,'[1]ABC Master Lists'!$AQ$2:$AS$12,3,FALSE)," ")</f>
        <v>+</v>
      </c>
      <c r="M514" s="122" t="str">
        <f>IFERROR(VLOOKUP(K514,'[1]ABC Master Lists'!$AD$2:$AE$22,2,FALSE), " ")</f>
        <v>+</v>
      </c>
    </row>
    <row r="515" spans="1:13" x14ac:dyDescent="0.25">
      <c r="D515" s="29"/>
      <c r="E515" s="25" t="s">
        <v>33</v>
      </c>
      <c r="F515" s="23">
        <v>0.25</v>
      </c>
      <c r="G515" s="35" t="s">
        <v>54</v>
      </c>
      <c r="H515" s="39" t="s">
        <v>5</v>
      </c>
      <c r="I515" s="39"/>
      <c r="J515" s="82" t="str">
        <f>IFERROR(VLOOKUP(I515,'[1]ABC Master Lists'!$B$2:$I$346,4,FALSE)," ")</f>
        <v xml:space="preserve"> </v>
      </c>
      <c r="K515" s="82" t="str">
        <f>IFERROR(VLOOKUP(I515,'[1]ABC Master Lists'!$B$2:$I$346,8,FALSE)," ")</f>
        <v xml:space="preserve"> </v>
      </c>
      <c r="L515" s="121" t="str">
        <f>IFERROR(VLOOKUP(J515,'[1]ABC Master Lists'!$AQ$2:$AS$12,3,FALSE)," ")</f>
        <v xml:space="preserve"> </v>
      </c>
      <c r="M515" s="121" t="str">
        <f>IFERROR(VLOOKUP(K515,'[1]ABC Master Lists'!$AD$2:$AE$22,2,FALSE), " ")</f>
        <v xml:space="preserve"> </v>
      </c>
    </row>
    <row r="516" spans="1:13" x14ac:dyDescent="0.25">
      <c r="D516" s="26">
        <v>32</v>
      </c>
      <c r="E516" s="24" t="s">
        <v>92</v>
      </c>
      <c r="F516" s="4">
        <v>8</v>
      </c>
      <c r="G516" s="32" t="s">
        <v>7</v>
      </c>
      <c r="H516" s="36" t="s">
        <v>20</v>
      </c>
      <c r="I516" s="36">
        <v>92</v>
      </c>
      <c r="J516" s="79">
        <f>IFERROR(VLOOKUP(I516,'[1]ABC Master Lists'!$B$2:$I$346,4,FALSE)," ")</f>
        <v>4</v>
      </c>
      <c r="K516" s="79">
        <f>IFERROR(VLOOKUP(I516,'[1]ABC Master Lists'!$B$2:$I$346,8,FALSE)," ")</f>
        <v>8</v>
      </c>
      <c r="L516" s="118" t="str">
        <f>IFERROR(VLOOKUP(J516,'[1]ABC Master Lists'!$AQ$2:$AS$12,3,FALSE)," ")</f>
        <v>+</v>
      </c>
      <c r="M516" s="118" t="str">
        <f>IFERROR(VLOOKUP(K516,'[1]ABC Master Lists'!$AD$2:$AE$22,2,FALSE), " ")</f>
        <v>+</v>
      </c>
    </row>
    <row r="517" spans="1:13" x14ac:dyDescent="0.25">
      <c r="E517" s="24" t="s">
        <v>33</v>
      </c>
      <c r="F517" s="4">
        <v>0.25</v>
      </c>
      <c r="G517" s="32" t="s">
        <v>54</v>
      </c>
      <c r="H517" s="36" t="s">
        <v>20</v>
      </c>
      <c r="J517" s="79" t="str">
        <f>IFERROR(VLOOKUP(I517,'[1]ABC Master Lists'!$B$2:$I$346,4,FALSE)," ")</f>
        <v xml:space="preserve"> </v>
      </c>
      <c r="K517" s="79" t="str">
        <f>IFERROR(VLOOKUP(I517,'[1]ABC Master Lists'!$B$2:$I$346,8,FALSE)," ")</f>
        <v xml:space="preserve"> </v>
      </c>
      <c r="L517" s="118" t="str">
        <f>IFERROR(VLOOKUP(J517,'[1]ABC Master Lists'!$AQ$2:$AS$12,3,FALSE)," ")</f>
        <v xml:space="preserve"> </v>
      </c>
      <c r="M517" s="118" t="str">
        <f>IFERROR(VLOOKUP(K517,'[1]ABC Master Lists'!$AD$2:$AE$22,2,FALSE), " ")</f>
        <v xml:space="preserve"> </v>
      </c>
    </row>
    <row r="518" spans="1:13" x14ac:dyDescent="0.25">
      <c r="D518" s="28">
        <v>33</v>
      </c>
      <c r="E518" s="31" t="s">
        <v>6</v>
      </c>
      <c r="F518" s="20">
        <v>9</v>
      </c>
      <c r="G518" s="34" t="s">
        <v>7</v>
      </c>
      <c r="H518" s="38" t="s">
        <v>20</v>
      </c>
      <c r="I518" s="38">
        <v>19</v>
      </c>
      <c r="J518" s="83">
        <f>IFERROR(VLOOKUP(I518,'[1]ABC Master Lists'!$B$2:$I$346,4,FALSE)," ")</f>
        <v>20</v>
      </c>
      <c r="K518" s="83">
        <f>IFERROR(VLOOKUP(I518,'[1]ABC Master Lists'!$B$2:$I$346,8,FALSE)," ")</f>
        <v>8</v>
      </c>
      <c r="L518" s="122" t="str">
        <f>IFERROR(VLOOKUP(J518,'[1]ABC Master Lists'!$AQ$2:$AS$12,3,FALSE)," ")</f>
        <v>+</v>
      </c>
      <c r="M518" s="122" t="str">
        <f>IFERROR(VLOOKUP(K518,'[1]ABC Master Lists'!$AD$2:$AE$22,2,FALSE), " ")</f>
        <v>+</v>
      </c>
    </row>
    <row r="519" spans="1:13" x14ac:dyDescent="0.25">
      <c r="D519" s="29"/>
      <c r="E519" s="25" t="s">
        <v>33</v>
      </c>
      <c r="F519" s="23">
        <v>0.25</v>
      </c>
      <c r="G519" s="35" t="s">
        <v>54</v>
      </c>
      <c r="H519" s="39" t="s">
        <v>20</v>
      </c>
      <c r="I519" s="39"/>
      <c r="J519" s="82" t="str">
        <f>IFERROR(VLOOKUP(I519,'[1]ABC Master Lists'!$B$2:$I$346,4,FALSE)," ")</f>
        <v xml:space="preserve"> </v>
      </c>
      <c r="K519" s="82" t="str">
        <f>IFERROR(VLOOKUP(I519,'[1]ABC Master Lists'!$B$2:$I$346,8,FALSE)," ")</f>
        <v xml:space="preserve"> </v>
      </c>
      <c r="L519" s="121" t="str">
        <f>IFERROR(VLOOKUP(J519,'[1]ABC Master Lists'!$AQ$2:$AS$12,3,FALSE)," ")</f>
        <v xml:space="preserve"> </v>
      </c>
      <c r="M519" s="121" t="str">
        <f>IFERROR(VLOOKUP(K519,'[1]ABC Master Lists'!$AD$2:$AE$22,2,FALSE), " ")</f>
        <v xml:space="preserve"> </v>
      </c>
    </row>
    <row r="520" spans="1:13" x14ac:dyDescent="0.25">
      <c r="D520" s="26">
        <v>34</v>
      </c>
      <c r="E520" s="24" t="s">
        <v>92</v>
      </c>
      <c r="F520" s="4">
        <v>8</v>
      </c>
      <c r="G520" s="32" t="s">
        <v>7</v>
      </c>
      <c r="H520" s="36" t="s">
        <v>34</v>
      </c>
      <c r="I520" s="36">
        <v>89</v>
      </c>
      <c r="J520" s="79">
        <f>IFERROR(VLOOKUP(I520,'[1]ABC Master Lists'!$B$2:$I$346,4,FALSE)," ")</f>
        <v>4</v>
      </c>
      <c r="K520" s="79">
        <f>IFERROR(VLOOKUP(I520,'[1]ABC Master Lists'!$B$2:$I$346,8,FALSE)," ")</f>
        <v>5</v>
      </c>
      <c r="L520" s="118" t="str">
        <f>IFERROR(VLOOKUP(J520,'[1]ABC Master Lists'!$AQ$2:$AS$12,3,FALSE)," ")</f>
        <v>+</v>
      </c>
      <c r="M520" s="118" t="str">
        <f>IFERROR(VLOOKUP(K520,'[1]ABC Master Lists'!$AD$2:$AE$22,2,FALSE), " ")</f>
        <v>+</v>
      </c>
    </row>
    <row r="521" spans="1:13" x14ac:dyDescent="0.25">
      <c r="E521" s="24" t="s">
        <v>33</v>
      </c>
      <c r="F521" s="4">
        <v>0.25</v>
      </c>
      <c r="G521" s="32" t="s">
        <v>54</v>
      </c>
      <c r="H521" s="36" t="s">
        <v>34</v>
      </c>
      <c r="J521" s="79" t="str">
        <f>IFERROR(VLOOKUP(I521,'[1]ABC Master Lists'!$B$2:$I$346,4,FALSE)," ")</f>
        <v xml:space="preserve"> </v>
      </c>
      <c r="K521" s="79" t="str">
        <f>IFERROR(VLOOKUP(I521,'[1]ABC Master Lists'!$B$2:$I$346,8,FALSE)," ")</f>
        <v xml:space="preserve"> </v>
      </c>
      <c r="L521" s="118" t="str">
        <f>IFERROR(VLOOKUP(J521,'[1]ABC Master Lists'!$AQ$2:$AS$12,3,FALSE)," ")</f>
        <v xml:space="preserve"> </v>
      </c>
      <c r="M521" s="118" t="str">
        <f>IFERROR(VLOOKUP(K521,'[1]ABC Master Lists'!$AD$2:$AE$22,2,FALSE), " ")</f>
        <v xml:space="preserve"> </v>
      </c>
    </row>
    <row r="522" spans="1:13" x14ac:dyDescent="0.25">
      <c r="D522" s="28">
        <v>35</v>
      </c>
      <c r="E522" s="31" t="s">
        <v>92</v>
      </c>
      <c r="F522" s="20">
        <v>8</v>
      </c>
      <c r="G522" s="34" t="s">
        <v>7</v>
      </c>
      <c r="H522" s="38" t="s">
        <v>65</v>
      </c>
      <c r="I522" s="38">
        <v>94</v>
      </c>
      <c r="J522" s="83">
        <f>IFERROR(VLOOKUP(I522,'[1]ABC Master Lists'!$B$2:$I$346,4,FALSE)," ")</f>
        <v>4</v>
      </c>
      <c r="K522" s="83">
        <f>IFERROR(VLOOKUP(I522,'[1]ABC Master Lists'!$B$2:$I$346,8,FALSE)," ")</f>
        <v>10</v>
      </c>
      <c r="L522" s="122" t="str">
        <f>IFERROR(VLOOKUP(J522,'[1]ABC Master Lists'!$AQ$2:$AS$12,3,FALSE)," ")</f>
        <v>+</v>
      </c>
      <c r="M522" s="122" t="str">
        <f>IFERROR(VLOOKUP(K522,'[1]ABC Master Lists'!$AD$2:$AE$22,2,FALSE), " ")</f>
        <v>+</v>
      </c>
    </row>
    <row r="523" spans="1:13" x14ac:dyDescent="0.25">
      <c r="D523" s="29"/>
      <c r="E523" s="25" t="s">
        <v>33</v>
      </c>
      <c r="F523" s="23">
        <v>0.25</v>
      </c>
      <c r="G523" s="35" t="s">
        <v>54</v>
      </c>
      <c r="H523" s="39" t="s">
        <v>65</v>
      </c>
      <c r="I523" s="39"/>
      <c r="J523" s="82" t="str">
        <f>IFERROR(VLOOKUP(I523,'[1]ABC Master Lists'!$B$2:$I$346,4,FALSE)," ")</f>
        <v xml:space="preserve"> </v>
      </c>
      <c r="K523" s="82" t="str">
        <f>IFERROR(VLOOKUP(I523,'[1]ABC Master Lists'!$B$2:$I$346,8,FALSE)," ")</f>
        <v xml:space="preserve"> </v>
      </c>
      <c r="L523" s="121" t="str">
        <f>IFERROR(VLOOKUP(J523,'[1]ABC Master Lists'!$AQ$2:$AS$12,3,FALSE)," ")</f>
        <v xml:space="preserve"> </v>
      </c>
      <c r="M523" s="121" t="str">
        <f>IFERROR(VLOOKUP(K523,'[1]ABC Master Lists'!$AD$2:$AE$22,2,FALSE), " ")</f>
        <v xml:space="preserve"> </v>
      </c>
    </row>
    <row r="524" spans="1:13" x14ac:dyDescent="0.25">
      <c r="D524" s="26">
        <v>36</v>
      </c>
      <c r="E524" s="24" t="s">
        <v>91</v>
      </c>
      <c r="F524" s="4">
        <v>6</v>
      </c>
      <c r="G524" s="32" t="s">
        <v>7</v>
      </c>
      <c r="H524" s="36" t="s">
        <v>34</v>
      </c>
      <c r="I524" s="36">
        <v>51</v>
      </c>
      <c r="J524" s="79">
        <f>IFERROR(VLOOKUP(I524,'[1]ABC Master Lists'!$B$2:$I$346,4,FALSE)," ")</f>
        <v>18</v>
      </c>
      <c r="K524" s="79">
        <f>IFERROR(VLOOKUP(I524,'[1]ABC Master Lists'!$B$2:$I$346,8,FALSE)," ")</f>
        <v>5</v>
      </c>
      <c r="L524" s="118" t="str">
        <f>IFERROR(VLOOKUP(J524,'[1]ABC Master Lists'!$AQ$2:$AS$12,3,FALSE)," ")</f>
        <v>+</v>
      </c>
      <c r="M524" s="118" t="str">
        <f>IFERROR(VLOOKUP(K524,'[1]ABC Master Lists'!$AD$2:$AE$22,2,FALSE), " ")</f>
        <v>+</v>
      </c>
    </row>
    <row r="525" spans="1:13" x14ac:dyDescent="0.25">
      <c r="E525" s="24" t="s">
        <v>33</v>
      </c>
      <c r="F525" s="4">
        <v>0.25</v>
      </c>
      <c r="G525" s="32" t="s">
        <v>54</v>
      </c>
      <c r="H525" s="36" t="s">
        <v>34</v>
      </c>
      <c r="J525" s="79" t="str">
        <f>IFERROR(VLOOKUP(I525,'[1]ABC Master Lists'!$B$2:$I$346,4,FALSE)," ")</f>
        <v xml:space="preserve"> </v>
      </c>
      <c r="K525" s="79" t="str">
        <f>IFERROR(VLOOKUP(I525,'[1]ABC Master Lists'!$B$2:$I$346,8,FALSE)," ")</f>
        <v xml:space="preserve"> </v>
      </c>
      <c r="L525" s="118" t="str">
        <f>IFERROR(VLOOKUP(J525,'[1]ABC Master Lists'!$AQ$2:$AS$12,3,FALSE)," ")</f>
        <v xml:space="preserve"> </v>
      </c>
      <c r="M525" s="118" t="str">
        <f>IFERROR(VLOOKUP(K525,'[1]ABC Master Lists'!$AD$2:$AE$22,2,FALSE), " ")</f>
        <v xml:space="preserve"> </v>
      </c>
    </row>
    <row r="526" spans="1:13" x14ac:dyDescent="0.25">
      <c r="D526" s="28">
        <v>37</v>
      </c>
      <c r="E526" s="31" t="s">
        <v>26</v>
      </c>
      <c r="F526" s="20">
        <v>1</v>
      </c>
      <c r="G526" s="34" t="s">
        <v>93</v>
      </c>
      <c r="H526" s="38" t="s">
        <v>5</v>
      </c>
      <c r="I526" s="38">
        <v>140</v>
      </c>
      <c r="J526" s="83">
        <f>IFERROR(VLOOKUP(I526,'[1]ABC Master Lists'!$B$2:$I$346,4,FALSE)," ")</f>
        <v>11</v>
      </c>
      <c r="K526" s="83">
        <f>IFERROR(VLOOKUP(I526,'[1]ABC Master Lists'!$B$2:$I$346,8,FALSE)," ")</f>
        <v>6</v>
      </c>
      <c r="L526" s="122" t="str">
        <f>IFERROR(VLOOKUP(J526,'[1]ABC Master Lists'!$AQ$2:$AS$12,3,FALSE)," ")</f>
        <v>+</v>
      </c>
      <c r="M526" s="122" t="str">
        <f>IFERROR(VLOOKUP(K526,'[1]ABC Master Lists'!$AD$2:$AE$22,2,FALSE), " ")</f>
        <v>+</v>
      </c>
    </row>
    <row r="527" spans="1:13" x14ac:dyDescent="0.25">
      <c r="A527" s="25"/>
      <c r="B527" s="25"/>
      <c r="C527" s="25"/>
      <c r="D527" s="29"/>
      <c r="E527" s="25" t="s">
        <v>33</v>
      </c>
      <c r="F527" s="23">
        <v>0.25</v>
      </c>
      <c r="G527" s="35" t="s">
        <v>54</v>
      </c>
      <c r="H527" s="39" t="s">
        <v>5</v>
      </c>
      <c r="I527" s="39"/>
      <c r="J527" s="82" t="str">
        <f>IFERROR(VLOOKUP(I527,'[1]ABC Master Lists'!$B$2:$I$346,4,FALSE)," ")</f>
        <v xml:space="preserve"> </v>
      </c>
      <c r="K527" s="82" t="str">
        <f>IFERROR(VLOOKUP(I527,'[1]ABC Master Lists'!$B$2:$I$346,8,FALSE)," ")</f>
        <v xml:space="preserve"> </v>
      </c>
      <c r="L527" s="121" t="str">
        <f>IFERROR(VLOOKUP(J527,'[1]ABC Master Lists'!$AQ$2:$AS$12,3,FALSE)," ")</f>
        <v xml:space="preserve"> </v>
      </c>
      <c r="M527" s="121" t="str">
        <f>IFERROR(VLOOKUP(K527,'[1]ABC Master Lists'!$AD$2:$AE$22,2,FALSE), " ")</f>
        <v xml:space="preserve"> </v>
      </c>
    </row>
    <row r="528" spans="1:13" x14ac:dyDescent="0.25">
      <c r="A528" s="24">
        <v>2016</v>
      </c>
      <c r="B528" s="24" t="s">
        <v>166</v>
      </c>
      <c r="C528" s="24">
        <v>1</v>
      </c>
      <c r="D528" s="26">
        <v>1</v>
      </c>
      <c r="E528" s="24" t="s">
        <v>79</v>
      </c>
      <c r="F528" s="4" t="s">
        <v>2</v>
      </c>
      <c r="G528" s="32" t="s">
        <v>2</v>
      </c>
      <c r="H528" s="36" t="s">
        <v>2</v>
      </c>
      <c r="I528" s="36">
        <v>1</v>
      </c>
      <c r="J528" s="79" t="str">
        <f>IFERROR(VLOOKUP(I528,'[1]ABC Master Lists'!$B$2:$I$346,4,FALSE)," ")</f>
        <v>.</v>
      </c>
      <c r="K528" s="79" t="str">
        <f>IFERROR(VLOOKUP(I528,'[1]ABC Master Lists'!$B$2:$I$346,8,FALSE)," ")</f>
        <v>.</v>
      </c>
      <c r="L528" s="118" t="str">
        <f>IFERROR(VLOOKUP(J528,'[1]ABC Master Lists'!$AQ$2:$AS$12,3,FALSE)," ")</f>
        <v>+</v>
      </c>
      <c r="M528" s="118" t="str">
        <f>IFERROR(VLOOKUP(K528,'[1]ABC Master Lists'!$AD$2:$AE$22,2,FALSE), " ")</f>
        <v>+</v>
      </c>
    </row>
    <row r="529" spans="4:13" x14ac:dyDescent="0.25">
      <c r="D529" s="28">
        <v>2</v>
      </c>
      <c r="E529" s="31" t="s">
        <v>10</v>
      </c>
      <c r="F529" s="20">
        <v>6</v>
      </c>
      <c r="G529" s="34" t="s">
        <v>7</v>
      </c>
      <c r="H529" s="38" t="s">
        <v>5</v>
      </c>
      <c r="I529" s="38">
        <v>87</v>
      </c>
      <c r="J529" s="83">
        <f>IFERROR(VLOOKUP(I529,'[1]ABC Master Lists'!$B$2:$I$346,4,FALSE)," ")</f>
        <v>4</v>
      </c>
      <c r="K529" s="83">
        <f>IFERROR(VLOOKUP(I529,'[1]ABC Master Lists'!$B$2:$I$346,8,FALSE)," ")</f>
        <v>6</v>
      </c>
      <c r="L529" s="122" t="str">
        <f>IFERROR(VLOOKUP(J529,'[1]ABC Master Lists'!$AQ$2:$AS$12,3,FALSE)," ")</f>
        <v>+</v>
      </c>
      <c r="M529" s="122" t="str">
        <f>IFERROR(VLOOKUP(K529,'[1]ABC Master Lists'!$AD$2:$AE$22,2,FALSE), " ")</f>
        <v>+</v>
      </c>
    </row>
    <row r="530" spans="4:13" x14ac:dyDescent="0.25">
      <c r="D530" s="29"/>
      <c r="E530" s="25" t="s">
        <v>33</v>
      </c>
      <c r="F530" s="23">
        <v>0.25</v>
      </c>
      <c r="G530" s="35" t="s">
        <v>54</v>
      </c>
      <c r="H530" s="39" t="s">
        <v>5</v>
      </c>
      <c r="I530" s="39"/>
      <c r="J530" s="82" t="str">
        <f>IFERROR(VLOOKUP(I530,'[1]ABC Master Lists'!$B$2:$I$346,4,FALSE)," ")</f>
        <v xml:space="preserve"> </v>
      </c>
      <c r="K530" s="82" t="str">
        <f>IFERROR(VLOOKUP(I530,'[1]ABC Master Lists'!$B$2:$I$346,8,FALSE)," ")</f>
        <v xml:space="preserve"> </v>
      </c>
      <c r="L530" s="121" t="str">
        <f>IFERROR(VLOOKUP(J530,'[1]ABC Master Lists'!$AQ$2:$AS$12,3,FALSE)," ")</f>
        <v xml:space="preserve"> </v>
      </c>
      <c r="M530" s="121" t="str">
        <f>IFERROR(VLOOKUP(K530,'[1]ABC Master Lists'!$AD$2:$AE$22,2,FALSE), " ")</f>
        <v xml:space="preserve"> </v>
      </c>
    </row>
    <row r="531" spans="4:13" x14ac:dyDescent="0.25">
      <c r="D531" s="26">
        <v>3</v>
      </c>
      <c r="E531" s="24" t="s">
        <v>10</v>
      </c>
      <c r="F531" s="4">
        <v>8</v>
      </c>
      <c r="G531" s="32" t="s">
        <v>7</v>
      </c>
      <c r="H531" s="36" t="s">
        <v>5</v>
      </c>
      <c r="I531" s="36">
        <v>90</v>
      </c>
      <c r="J531" s="79">
        <f>IFERROR(VLOOKUP(I531,'[1]ABC Master Lists'!$B$2:$I$346,4,FALSE)," ")</f>
        <v>4</v>
      </c>
      <c r="K531" s="79">
        <f>IFERROR(VLOOKUP(I531,'[1]ABC Master Lists'!$B$2:$I$346,8,FALSE)," ")</f>
        <v>6</v>
      </c>
      <c r="L531" s="118" t="str">
        <f>IFERROR(VLOOKUP(J531,'[1]ABC Master Lists'!$AQ$2:$AS$12,3,FALSE)," ")</f>
        <v>+</v>
      </c>
      <c r="M531" s="118" t="str">
        <f>IFERROR(VLOOKUP(K531,'[1]ABC Master Lists'!$AD$2:$AE$22,2,FALSE), " ")</f>
        <v>+</v>
      </c>
    </row>
    <row r="532" spans="4:13" x14ac:dyDescent="0.25">
      <c r="E532" s="24" t="s">
        <v>33</v>
      </c>
      <c r="F532" s="4">
        <v>0.25</v>
      </c>
      <c r="G532" s="32" t="s">
        <v>54</v>
      </c>
      <c r="H532" s="36" t="s">
        <v>5</v>
      </c>
      <c r="J532" s="79" t="str">
        <f>IFERROR(VLOOKUP(I532,'[1]ABC Master Lists'!$B$2:$I$346,4,FALSE)," ")</f>
        <v xml:space="preserve"> </v>
      </c>
      <c r="K532" s="79" t="str">
        <f>IFERROR(VLOOKUP(I532,'[1]ABC Master Lists'!$B$2:$I$346,8,FALSE)," ")</f>
        <v xml:space="preserve"> </v>
      </c>
      <c r="L532" s="118" t="str">
        <f>IFERROR(VLOOKUP(J532,'[1]ABC Master Lists'!$AQ$2:$AS$12,3,FALSE)," ")</f>
        <v xml:space="preserve"> </v>
      </c>
      <c r="M532" s="118" t="str">
        <f>IFERROR(VLOOKUP(K532,'[1]ABC Master Lists'!$AD$2:$AE$22,2,FALSE), " ")</f>
        <v xml:space="preserve"> </v>
      </c>
    </row>
    <row r="533" spans="4:13" x14ac:dyDescent="0.25">
      <c r="D533" s="28">
        <v>4</v>
      </c>
      <c r="E533" s="31" t="s">
        <v>44</v>
      </c>
      <c r="F533" s="20">
        <v>4</v>
      </c>
      <c r="G533" s="34" t="s">
        <v>7</v>
      </c>
      <c r="H533" s="38" t="s">
        <v>5</v>
      </c>
      <c r="I533" s="38">
        <v>155</v>
      </c>
      <c r="J533" s="83">
        <f>IFERROR(VLOOKUP(I533,'[1]ABC Master Lists'!$B$2:$I$346,4,FALSE)," ")</f>
        <v>162426</v>
      </c>
      <c r="K533" s="83">
        <f>IFERROR(VLOOKUP(I533,'[1]ABC Master Lists'!$B$2:$I$346,8,FALSE)," ")</f>
        <v>6</v>
      </c>
      <c r="L533" s="122" t="str">
        <f>IFERROR(VLOOKUP(J533,'[1]ABC Master Lists'!$AQ$2:$AS$12,3,FALSE)," ")</f>
        <v xml:space="preserve"> </v>
      </c>
      <c r="M533" s="122" t="str">
        <f>IFERROR(VLOOKUP(K533,'[1]ABC Master Lists'!$AD$2:$AE$22,2,FALSE), " ")</f>
        <v>+</v>
      </c>
    </row>
    <row r="534" spans="4:13" x14ac:dyDescent="0.25">
      <c r="E534" s="24" t="s">
        <v>15</v>
      </c>
      <c r="F534" s="4">
        <v>4</v>
      </c>
      <c r="G534" s="32" t="s">
        <v>7</v>
      </c>
      <c r="H534" s="36" t="s">
        <v>5</v>
      </c>
      <c r="J534" s="79" t="str">
        <f>IFERROR(VLOOKUP(I534,'[1]ABC Master Lists'!$B$2:$I$346,4,FALSE)," ")</f>
        <v xml:space="preserve"> </v>
      </c>
      <c r="K534" s="79" t="str">
        <f>IFERROR(VLOOKUP(I534,'[1]ABC Master Lists'!$B$2:$I$346,8,FALSE)," ")</f>
        <v xml:space="preserve"> </v>
      </c>
      <c r="L534" s="118" t="str">
        <f>IFERROR(VLOOKUP(J534,'[1]ABC Master Lists'!$AQ$2:$AS$12,3,FALSE)," ")</f>
        <v xml:space="preserve"> </v>
      </c>
      <c r="M534" s="118" t="str">
        <f>IFERROR(VLOOKUP(K534,'[1]ABC Master Lists'!$AD$2:$AE$22,2,FALSE), " ")</f>
        <v xml:space="preserve"> </v>
      </c>
    </row>
    <row r="535" spans="4:13" x14ac:dyDescent="0.25">
      <c r="D535" s="29"/>
      <c r="E535" s="25" t="s">
        <v>33</v>
      </c>
      <c r="F535" s="23">
        <v>0.25</v>
      </c>
      <c r="G535" s="35" t="s">
        <v>54</v>
      </c>
      <c r="H535" s="39" t="s">
        <v>5</v>
      </c>
      <c r="I535" s="39"/>
      <c r="J535" s="82" t="str">
        <f>IFERROR(VLOOKUP(I535,'[1]ABC Master Lists'!$B$2:$I$346,4,FALSE)," ")</f>
        <v xml:space="preserve"> </v>
      </c>
      <c r="K535" s="82" t="str">
        <f>IFERROR(VLOOKUP(I535,'[1]ABC Master Lists'!$B$2:$I$346,8,FALSE)," ")</f>
        <v xml:space="preserve"> </v>
      </c>
      <c r="L535" s="121" t="str">
        <f>IFERROR(VLOOKUP(J535,'[1]ABC Master Lists'!$AQ$2:$AS$12,3,FALSE)," ")</f>
        <v xml:space="preserve"> </v>
      </c>
      <c r="M535" s="121" t="str">
        <f>IFERROR(VLOOKUP(K535,'[1]ABC Master Lists'!$AD$2:$AE$22,2,FALSE), " ")</f>
        <v xml:space="preserve"> </v>
      </c>
    </row>
    <row r="536" spans="4:13" x14ac:dyDescent="0.25">
      <c r="D536" s="26">
        <v>5</v>
      </c>
      <c r="E536" s="24" t="s">
        <v>94</v>
      </c>
      <c r="F536" s="4">
        <v>7</v>
      </c>
      <c r="G536" s="32" t="s">
        <v>7</v>
      </c>
      <c r="H536" s="36" t="s">
        <v>5</v>
      </c>
      <c r="I536" s="36">
        <v>38</v>
      </c>
      <c r="J536" s="79" t="str">
        <f>IFERROR(VLOOKUP(I536,'[1]ABC Master Lists'!$B$2:$I$346,4,FALSE)," ")</f>
        <v>U</v>
      </c>
      <c r="K536" s="79">
        <f>IFERROR(VLOOKUP(I536,'[1]ABC Master Lists'!$B$2:$I$346,8,FALSE)," ")</f>
        <v>6</v>
      </c>
      <c r="L536" s="118" t="str">
        <f>IFERROR(VLOOKUP(J536,'[1]ABC Master Lists'!$AQ$2:$AS$12,3,FALSE)," ")</f>
        <v xml:space="preserve"> </v>
      </c>
      <c r="M536" s="118" t="str">
        <f>IFERROR(VLOOKUP(K536,'[1]ABC Master Lists'!$AD$2:$AE$22,2,FALSE), " ")</f>
        <v>+</v>
      </c>
    </row>
    <row r="537" spans="4:13" x14ac:dyDescent="0.25">
      <c r="E537" s="24" t="s">
        <v>33</v>
      </c>
      <c r="F537" s="4">
        <v>0.25</v>
      </c>
      <c r="G537" s="32" t="s">
        <v>54</v>
      </c>
      <c r="H537" s="36" t="s">
        <v>5</v>
      </c>
      <c r="J537" s="79" t="str">
        <f>IFERROR(VLOOKUP(I537,'[1]ABC Master Lists'!$B$2:$I$346,4,FALSE)," ")</f>
        <v xml:space="preserve"> </v>
      </c>
      <c r="K537" s="79" t="str">
        <f>IFERROR(VLOOKUP(I537,'[1]ABC Master Lists'!$B$2:$I$346,8,FALSE)," ")</f>
        <v xml:space="preserve"> </v>
      </c>
      <c r="L537" s="118" t="str">
        <f>IFERROR(VLOOKUP(J537,'[1]ABC Master Lists'!$AQ$2:$AS$12,3,FALSE)," ")</f>
        <v xml:space="preserve"> </v>
      </c>
      <c r="M537" s="118" t="str">
        <f>IFERROR(VLOOKUP(K537,'[1]ABC Master Lists'!$AD$2:$AE$22,2,FALSE), " ")</f>
        <v xml:space="preserve"> </v>
      </c>
    </row>
    <row r="538" spans="4:13" x14ac:dyDescent="0.25">
      <c r="D538" s="28">
        <v>6</v>
      </c>
      <c r="E538" s="31" t="s">
        <v>94</v>
      </c>
      <c r="F538" s="20">
        <v>14</v>
      </c>
      <c r="G538" s="34" t="s">
        <v>7</v>
      </c>
      <c r="H538" s="38" t="s">
        <v>5</v>
      </c>
      <c r="I538" s="38">
        <v>39</v>
      </c>
      <c r="J538" s="83" t="str">
        <f>IFERROR(VLOOKUP(I538,'[1]ABC Master Lists'!$B$2:$I$346,4,FALSE)," ")</f>
        <v>U</v>
      </c>
      <c r="K538" s="83">
        <f>IFERROR(VLOOKUP(I538,'[1]ABC Master Lists'!$B$2:$I$346,8,FALSE)," ")</f>
        <v>6</v>
      </c>
      <c r="L538" s="122" t="str">
        <f>IFERROR(VLOOKUP(J538,'[1]ABC Master Lists'!$AQ$2:$AS$12,3,FALSE)," ")</f>
        <v xml:space="preserve"> </v>
      </c>
      <c r="M538" s="122" t="str">
        <f>IFERROR(VLOOKUP(K538,'[1]ABC Master Lists'!$AD$2:$AE$22,2,FALSE), " ")</f>
        <v>+</v>
      </c>
    </row>
    <row r="539" spans="4:13" x14ac:dyDescent="0.25">
      <c r="D539" s="29"/>
      <c r="E539" s="25" t="s">
        <v>33</v>
      </c>
      <c r="F539" s="23">
        <v>0.25</v>
      </c>
      <c r="G539" s="35" t="s">
        <v>54</v>
      </c>
      <c r="H539" s="39" t="s">
        <v>5</v>
      </c>
      <c r="I539" s="39"/>
      <c r="J539" s="82" t="str">
        <f>IFERROR(VLOOKUP(I539,'[1]ABC Master Lists'!$B$2:$I$346,4,FALSE)," ")</f>
        <v xml:space="preserve"> </v>
      </c>
      <c r="K539" s="82" t="str">
        <f>IFERROR(VLOOKUP(I539,'[1]ABC Master Lists'!$B$2:$I$346,8,FALSE)," ")</f>
        <v xml:space="preserve"> </v>
      </c>
      <c r="L539" s="121" t="str">
        <f>IFERROR(VLOOKUP(J539,'[1]ABC Master Lists'!$AQ$2:$AS$12,3,FALSE)," ")</f>
        <v xml:space="preserve"> </v>
      </c>
      <c r="M539" s="121" t="str">
        <f>IFERROR(VLOOKUP(K539,'[1]ABC Master Lists'!$AD$2:$AE$22,2,FALSE), " ")</f>
        <v xml:space="preserve"> </v>
      </c>
    </row>
    <row r="540" spans="4:13" x14ac:dyDescent="0.25">
      <c r="D540" s="26">
        <v>7</v>
      </c>
      <c r="E540" s="24" t="s">
        <v>10</v>
      </c>
      <c r="F540" s="4">
        <v>6</v>
      </c>
      <c r="G540" s="32" t="s">
        <v>7</v>
      </c>
      <c r="H540" s="36" t="s">
        <v>5</v>
      </c>
      <c r="I540" s="36">
        <v>102</v>
      </c>
      <c r="J540" s="79">
        <f>IFERROR(VLOOKUP(I540,'[1]ABC Master Lists'!$B$2:$I$346,4,FALSE)," ")</f>
        <v>41624</v>
      </c>
      <c r="K540" s="79">
        <f>IFERROR(VLOOKUP(I540,'[1]ABC Master Lists'!$B$2:$I$346,8,FALSE)," ")</f>
        <v>68</v>
      </c>
      <c r="L540" s="118" t="str">
        <f>IFERROR(VLOOKUP(J540,'[1]ABC Master Lists'!$AQ$2:$AS$12,3,FALSE)," ")</f>
        <v>+</v>
      </c>
      <c r="M540" s="118" t="str">
        <f>IFERROR(VLOOKUP(K540,'[1]ABC Master Lists'!$AD$2:$AE$22,2,FALSE), " ")</f>
        <v>+</v>
      </c>
    </row>
    <row r="541" spans="4:13" x14ac:dyDescent="0.25">
      <c r="E541" s="24" t="s">
        <v>33</v>
      </c>
      <c r="F541" s="4">
        <v>0.25</v>
      </c>
      <c r="G541" s="32" t="s">
        <v>54</v>
      </c>
      <c r="H541" s="36" t="s">
        <v>5</v>
      </c>
      <c r="J541" s="79" t="str">
        <f>IFERROR(VLOOKUP(I541,'[1]ABC Master Lists'!$B$2:$I$346,4,FALSE)," ")</f>
        <v xml:space="preserve"> </v>
      </c>
      <c r="K541" s="79" t="str">
        <f>IFERROR(VLOOKUP(I541,'[1]ABC Master Lists'!$B$2:$I$346,8,FALSE)," ")</f>
        <v xml:space="preserve"> </v>
      </c>
      <c r="L541" s="118" t="str">
        <f>IFERROR(VLOOKUP(J541,'[1]ABC Master Lists'!$AQ$2:$AS$12,3,FALSE)," ")</f>
        <v xml:space="preserve"> </v>
      </c>
      <c r="M541" s="118" t="str">
        <f>IFERROR(VLOOKUP(K541,'[1]ABC Master Lists'!$AD$2:$AE$22,2,FALSE), " ")</f>
        <v xml:space="preserve"> </v>
      </c>
    </row>
    <row r="542" spans="4:13" x14ac:dyDescent="0.25">
      <c r="E542" s="24" t="s">
        <v>44</v>
      </c>
      <c r="F542" s="4">
        <v>4</v>
      </c>
      <c r="G542" s="32" t="s">
        <v>7</v>
      </c>
      <c r="H542" s="36" t="s">
        <v>20</v>
      </c>
      <c r="J542" s="79" t="str">
        <f>IFERROR(VLOOKUP(I542,'[1]ABC Master Lists'!$B$2:$I$346,4,FALSE)," ")</f>
        <v xml:space="preserve"> </v>
      </c>
      <c r="K542" s="79" t="str">
        <f>IFERROR(VLOOKUP(I542,'[1]ABC Master Lists'!$B$2:$I$346,8,FALSE)," ")</f>
        <v xml:space="preserve"> </v>
      </c>
      <c r="L542" s="118" t="str">
        <f>IFERROR(VLOOKUP(J542,'[1]ABC Master Lists'!$AQ$2:$AS$12,3,FALSE)," ")</f>
        <v xml:space="preserve"> </v>
      </c>
      <c r="M542" s="118" t="str">
        <f>IFERROR(VLOOKUP(K542,'[1]ABC Master Lists'!$AD$2:$AE$22,2,FALSE), " ")</f>
        <v xml:space="preserve"> </v>
      </c>
    </row>
    <row r="543" spans="4:13" x14ac:dyDescent="0.25">
      <c r="E543" s="24" t="s">
        <v>33</v>
      </c>
      <c r="F543" s="4">
        <v>0.25</v>
      </c>
      <c r="G543" s="32" t="s">
        <v>54</v>
      </c>
      <c r="H543" s="36" t="s">
        <v>20</v>
      </c>
      <c r="J543" s="79" t="str">
        <f>IFERROR(VLOOKUP(I543,'[1]ABC Master Lists'!$B$2:$I$346,4,FALSE)," ")</f>
        <v xml:space="preserve"> </v>
      </c>
      <c r="K543" s="79" t="str">
        <f>IFERROR(VLOOKUP(I543,'[1]ABC Master Lists'!$B$2:$I$346,8,FALSE)," ")</f>
        <v xml:space="preserve"> </v>
      </c>
      <c r="L543" s="118" t="str">
        <f>IFERROR(VLOOKUP(J543,'[1]ABC Master Lists'!$AQ$2:$AS$12,3,FALSE)," ")</f>
        <v xml:space="preserve"> </v>
      </c>
      <c r="M543" s="118" t="str">
        <f>IFERROR(VLOOKUP(K543,'[1]ABC Master Lists'!$AD$2:$AE$22,2,FALSE), " ")</f>
        <v xml:space="preserve"> </v>
      </c>
    </row>
    <row r="544" spans="4:13" x14ac:dyDescent="0.25">
      <c r="D544" s="28">
        <v>8</v>
      </c>
      <c r="E544" s="31" t="s">
        <v>18</v>
      </c>
      <c r="F544" s="20">
        <v>6</v>
      </c>
      <c r="G544" s="34" t="s">
        <v>7</v>
      </c>
      <c r="H544" s="38" t="s">
        <v>34</v>
      </c>
      <c r="I544" s="38">
        <v>51</v>
      </c>
      <c r="J544" s="83">
        <f>IFERROR(VLOOKUP(I544,'[1]ABC Master Lists'!$B$2:$I$346,4,FALSE)," ")</f>
        <v>18</v>
      </c>
      <c r="K544" s="83">
        <f>IFERROR(VLOOKUP(I544,'[1]ABC Master Lists'!$B$2:$I$346,8,FALSE)," ")</f>
        <v>5</v>
      </c>
      <c r="L544" s="122" t="str">
        <f>IFERROR(VLOOKUP(J544,'[1]ABC Master Lists'!$AQ$2:$AS$12,3,FALSE)," ")</f>
        <v>+</v>
      </c>
      <c r="M544" s="122" t="str">
        <f>IFERROR(VLOOKUP(K544,'[1]ABC Master Lists'!$AD$2:$AE$22,2,FALSE), " ")</f>
        <v>+</v>
      </c>
    </row>
    <row r="545" spans="4:13" x14ac:dyDescent="0.25">
      <c r="D545" s="29"/>
      <c r="E545" s="25" t="s">
        <v>33</v>
      </c>
      <c r="F545" s="23">
        <v>0.25</v>
      </c>
      <c r="G545" s="35" t="s">
        <v>54</v>
      </c>
      <c r="H545" s="39" t="s">
        <v>34</v>
      </c>
      <c r="I545" s="39"/>
      <c r="J545" s="82" t="str">
        <f>IFERROR(VLOOKUP(I545,'[1]ABC Master Lists'!$B$2:$I$346,4,FALSE)," ")</f>
        <v xml:space="preserve"> </v>
      </c>
      <c r="K545" s="82" t="str">
        <f>IFERROR(VLOOKUP(I545,'[1]ABC Master Lists'!$B$2:$I$346,8,FALSE)," ")</f>
        <v xml:space="preserve"> </v>
      </c>
      <c r="L545" s="121" t="str">
        <f>IFERROR(VLOOKUP(J545,'[1]ABC Master Lists'!$AQ$2:$AS$12,3,FALSE)," ")</f>
        <v xml:space="preserve"> </v>
      </c>
      <c r="M545" s="121" t="str">
        <f>IFERROR(VLOOKUP(K545,'[1]ABC Master Lists'!$AD$2:$AE$22,2,FALSE), " ")</f>
        <v xml:space="preserve"> </v>
      </c>
    </row>
    <row r="546" spans="4:13" x14ac:dyDescent="0.25">
      <c r="D546" s="26">
        <v>9</v>
      </c>
      <c r="E546" s="24" t="s">
        <v>18</v>
      </c>
      <c r="F546" s="4">
        <v>6</v>
      </c>
      <c r="G546" s="32" t="s">
        <v>7</v>
      </c>
      <c r="H546" s="36" t="s">
        <v>34</v>
      </c>
      <c r="I546" s="36">
        <v>240</v>
      </c>
      <c r="J546" s="79">
        <f>IFERROR(VLOOKUP(I546,'[1]ABC Master Lists'!$B$2:$I$346,4,FALSE)," ")</f>
        <v>1820</v>
      </c>
      <c r="K546" s="79">
        <f>IFERROR(VLOOKUP(I546,'[1]ABC Master Lists'!$B$2:$I$346,8,FALSE)," ")</f>
        <v>56</v>
      </c>
      <c r="L546" s="118" t="str">
        <f>IFERROR(VLOOKUP(J546,'[1]ABC Master Lists'!$AQ$2:$AS$12,3,FALSE)," ")</f>
        <v xml:space="preserve"> </v>
      </c>
    </row>
    <row r="547" spans="4:13" x14ac:dyDescent="0.25">
      <c r="E547" s="24" t="s">
        <v>33</v>
      </c>
      <c r="F547" s="4">
        <v>0.25</v>
      </c>
      <c r="G547" s="32" t="s">
        <v>54</v>
      </c>
      <c r="H547" s="36" t="s">
        <v>34</v>
      </c>
      <c r="J547" s="79" t="str">
        <f>IFERROR(VLOOKUP(I547,'[1]ABC Master Lists'!$B$2:$I$346,4,FALSE)," ")</f>
        <v xml:space="preserve"> </v>
      </c>
      <c r="K547" s="79" t="str">
        <f>IFERROR(VLOOKUP(I547,'[1]ABC Master Lists'!$B$2:$I$346,8,FALSE)," ")</f>
        <v xml:space="preserve"> </v>
      </c>
      <c r="L547" s="118" t="str">
        <f>IFERROR(VLOOKUP(J547,'[1]ABC Master Lists'!$AQ$2:$AS$12,3,FALSE)," ")</f>
        <v xml:space="preserve"> </v>
      </c>
      <c r="M547" s="118" t="str">
        <f>IFERROR(VLOOKUP(K547,'[1]ABC Master Lists'!$AD$2:$AE$22,2,FALSE), " ")</f>
        <v xml:space="preserve"> </v>
      </c>
    </row>
    <row r="548" spans="4:13" x14ac:dyDescent="0.25">
      <c r="D548" s="26" t="s">
        <v>85</v>
      </c>
      <c r="E548" s="24" t="s">
        <v>6</v>
      </c>
      <c r="F548" s="4">
        <v>9</v>
      </c>
      <c r="G548" s="32" t="s">
        <v>7</v>
      </c>
      <c r="H548" s="36" t="s">
        <v>5</v>
      </c>
      <c r="J548" s="79" t="str">
        <f>IFERROR(VLOOKUP(I548,'[1]ABC Master Lists'!$B$2:$I$346,4,FALSE)," ")</f>
        <v xml:space="preserve"> </v>
      </c>
      <c r="K548" s="79" t="str">
        <f>IFERROR(VLOOKUP(I548,'[1]ABC Master Lists'!$B$2:$I$346,8,FALSE)," ")</f>
        <v xml:space="preserve"> </v>
      </c>
      <c r="L548" s="118" t="str">
        <f>IFERROR(VLOOKUP(J548,'[1]ABC Master Lists'!$AQ$2:$AS$12,3,FALSE)," ")</f>
        <v xml:space="preserve"> </v>
      </c>
      <c r="M548" s="118" t="str">
        <f>IFERROR(VLOOKUP(K548,'[1]ABC Master Lists'!$AD$2:$AE$22,2,FALSE), " ")</f>
        <v xml:space="preserve"> </v>
      </c>
    </row>
    <row r="549" spans="4:13" x14ac:dyDescent="0.25">
      <c r="E549" s="24" t="s">
        <v>33</v>
      </c>
      <c r="F549" s="4">
        <v>0.25</v>
      </c>
      <c r="G549" s="32" t="s">
        <v>54</v>
      </c>
      <c r="H549" s="36" t="s">
        <v>5</v>
      </c>
      <c r="J549" s="79" t="str">
        <f>IFERROR(VLOOKUP(I549,'[1]ABC Master Lists'!$B$2:$I$346,4,FALSE)," ")</f>
        <v xml:space="preserve"> </v>
      </c>
      <c r="K549" s="79" t="str">
        <f>IFERROR(VLOOKUP(I549,'[1]ABC Master Lists'!$B$2:$I$346,8,FALSE)," ")</f>
        <v xml:space="preserve"> </v>
      </c>
      <c r="L549" s="118" t="str">
        <f>IFERROR(VLOOKUP(J549,'[1]ABC Master Lists'!$AQ$2:$AS$12,3,FALSE)," ")</f>
        <v xml:space="preserve"> </v>
      </c>
      <c r="M549" s="118" t="str">
        <f>IFERROR(VLOOKUP(K549,'[1]ABC Master Lists'!$AD$2:$AE$22,2,FALSE), " ")</f>
        <v xml:space="preserve"> </v>
      </c>
    </row>
    <row r="550" spans="4:13" x14ac:dyDescent="0.25">
      <c r="D550" s="28">
        <v>10</v>
      </c>
      <c r="E550" s="31" t="s">
        <v>6</v>
      </c>
      <c r="F550" s="20">
        <v>9</v>
      </c>
      <c r="G550" s="34" t="s">
        <v>7</v>
      </c>
      <c r="H550" s="38" t="s">
        <v>5</v>
      </c>
      <c r="I550" s="38">
        <v>17</v>
      </c>
      <c r="J550" s="83">
        <f>IFERROR(VLOOKUP(I550,'[1]ABC Master Lists'!$B$2:$I$346,4,FALSE)," ")</f>
        <v>20</v>
      </c>
      <c r="K550" s="83">
        <f>IFERROR(VLOOKUP(I550,'[1]ABC Master Lists'!$B$2:$I$346,8,FALSE)," ")</f>
        <v>6</v>
      </c>
      <c r="L550" s="122" t="str">
        <f>IFERROR(VLOOKUP(J550,'[1]ABC Master Lists'!$AQ$2:$AS$12,3,FALSE)," ")</f>
        <v>+</v>
      </c>
      <c r="M550" s="122" t="str">
        <f>IFERROR(VLOOKUP(K550,'[1]ABC Master Lists'!$AD$2:$AE$22,2,FALSE), " ")</f>
        <v>+</v>
      </c>
    </row>
    <row r="551" spans="4:13" x14ac:dyDescent="0.25">
      <c r="D551" s="29"/>
      <c r="E551" s="25" t="s">
        <v>33</v>
      </c>
      <c r="F551" s="23">
        <v>0.25</v>
      </c>
      <c r="G551" s="35" t="s">
        <v>54</v>
      </c>
      <c r="H551" s="39" t="s">
        <v>5</v>
      </c>
      <c r="I551" s="39"/>
      <c r="J551" s="82" t="str">
        <f>IFERROR(VLOOKUP(I551,'[1]ABC Master Lists'!$B$2:$I$346,4,FALSE)," ")</f>
        <v xml:space="preserve"> </v>
      </c>
      <c r="K551" s="82" t="str">
        <f>IFERROR(VLOOKUP(I551,'[1]ABC Master Lists'!$B$2:$I$346,8,FALSE)," ")</f>
        <v xml:space="preserve"> </v>
      </c>
      <c r="L551" s="121" t="str">
        <f>IFERROR(VLOOKUP(J551,'[1]ABC Master Lists'!$AQ$2:$AS$12,3,FALSE)," ")</f>
        <v xml:space="preserve"> </v>
      </c>
      <c r="M551" s="121" t="str">
        <f>IFERROR(VLOOKUP(K551,'[1]ABC Master Lists'!$AD$2:$AE$22,2,FALSE), " ")</f>
        <v xml:space="preserve"> </v>
      </c>
    </row>
    <row r="552" spans="4:13" x14ac:dyDescent="0.25">
      <c r="D552" s="26">
        <v>11</v>
      </c>
      <c r="E552" s="24" t="s">
        <v>6</v>
      </c>
      <c r="F552" s="4">
        <v>9</v>
      </c>
      <c r="G552" s="32" t="s">
        <v>7</v>
      </c>
      <c r="H552" s="36" t="s">
        <v>5</v>
      </c>
      <c r="I552" s="36">
        <v>23</v>
      </c>
      <c r="J552" s="79">
        <f>IFERROR(VLOOKUP(I552,'[1]ABC Master Lists'!$B$2:$I$346,4,FALSE)," ")</f>
        <v>20</v>
      </c>
      <c r="K552" s="79">
        <f>IFERROR(VLOOKUP(I552,'[1]ABC Master Lists'!$B$2:$I$346,8,FALSE)," ")</f>
        <v>68</v>
      </c>
      <c r="L552" s="118" t="str">
        <f>IFERROR(VLOOKUP(J552,'[1]ABC Master Lists'!$AQ$2:$AS$12,3,FALSE)," ")</f>
        <v>+</v>
      </c>
      <c r="M552" s="118" t="str">
        <f>IFERROR(VLOOKUP(K552,'[1]ABC Master Lists'!$AD$2:$AE$22,2,FALSE), " ")</f>
        <v>+</v>
      </c>
    </row>
    <row r="553" spans="4:13" x14ac:dyDescent="0.25">
      <c r="E553" s="24" t="s">
        <v>33</v>
      </c>
      <c r="F553" s="4">
        <v>0.25</v>
      </c>
      <c r="G553" s="32" t="s">
        <v>54</v>
      </c>
      <c r="H553" s="36" t="s">
        <v>5</v>
      </c>
      <c r="J553" s="79" t="str">
        <f>IFERROR(VLOOKUP(I553,'[1]ABC Master Lists'!$B$2:$I$346,4,FALSE)," ")</f>
        <v xml:space="preserve"> </v>
      </c>
      <c r="K553" s="79" t="str">
        <f>IFERROR(VLOOKUP(I553,'[1]ABC Master Lists'!$B$2:$I$346,8,FALSE)," ")</f>
        <v xml:space="preserve"> </v>
      </c>
      <c r="L553" s="118" t="str">
        <f>IFERROR(VLOOKUP(J553,'[1]ABC Master Lists'!$AQ$2:$AS$12,3,FALSE)," ")</f>
        <v xml:space="preserve"> </v>
      </c>
      <c r="M553" s="118" t="str">
        <f>IFERROR(VLOOKUP(K553,'[1]ABC Master Lists'!$AD$2:$AE$22,2,FALSE), " ")</f>
        <v xml:space="preserve"> </v>
      </c>
    </row>
    <row r="554" spans="4:13" x14ac:dyDescent="0.25">
      <c r="D554" s="26" t="s">
        <v>85</v>
      </c>
      <c r="E554" s="24" t="s">
        <v>6</v>
      </c>
      <c r="F554" s="4">
        <v>9</v>
      </c>
      <c r="G554" s="32" t="s">
        <v>7</v>
      </c>
      <c r="H554" s="36" t="s">
        <v>20</v>
      </c>
      <c r="J554" s="79" t="str">
        <f>IFERROR(VLOOKUP(I554,'[1]ABC Master Lists'!$B$2:$I$346,4,FALSE)," ")</f>
        <v xml:space="preserve"> </v>
      </c>
      <c r="K554" s="79" t="str">
        <f>IFERROR(VLOOKUP(I554,'[1]ABC Master Lists'!$B$2:$I$346,8,FALSE)," ")</f>
        <v xml:space="preserve"> </v>
      </c>
      <c r="L554" s="118" t="str">
        <f>IFERROR(VLOOKUP(J554,'[1]ABC Master Lists'!$AQ$2:$AS$12,3,FALSE)," ")</f>
        <v xml:space="preserve"> </v>
      </c>
      <c r="M554" s="118" t="str">
        <f>IFERROR(VLOOKUP(K554,'[1]ABC Master Lists'!$AD$2:$AE$22,2,FALSE), " ")</f>
        <v xml:space="preserve"> </v>
      </c>
    </row>
    <row r="555" spans="4:13" x14ac:dyDescent="0.25">
      <c r="E555" s="24" t="s">
        <v>33</v>
      </c>
      <c r="F555" s="4">
        <v>0.25</v>
      </c>
      <c r="G555" s="32" t="s">
        <v>54</v>
      </c>
      <c r="H555" s="36" t="s">
        <v>20</v>
      </c>
      <c r="J555" s="79" t="str">
        <f>IFERROR(VLOOKUP(I555,'[1]ABC Master Lists'!$B$2:$I$346,4,FALSE)," ")</f>
        <v xml:space="preserve"> </v>
      </c>
      <c r="K555" s="79" t="str">
        <f>IFERROR(VLOOKUP(I555,'[1]ABC Master Lists'!$B$2:$I$346,8,FALSE)," ")</f>
        <v xml:space="preserve"> </v>
      </c>
      <c r="L555" s="118" t="str">
        <f>IFERROR(VLOOKUP(J555,'[1]ABC Master Lists'!$AQ$2:$AS$12,3,FALSE)," ")</f>
        <v xml:space="preserve"> </v>
      </c>
      <c r="M555" s="118" t="str">
        <f>IFERROR(VLOOKUP(K555,'[1]ABC Master Lists'!$AD$2:$AE$22,2,FALSE), " ")</f>
        <v xml:space="preserve"> </v>
      </c>
    </row>
    <row r="556" spans="4:13" x14ac:dyDescent="0.25">
      <c r="D556" s="28">
        <v>12</v>
      </c>
      <c r="E556" s="31" t="s">
        <v>6</v>
      </c>
      <c r="F556" s="20">
        <v>9</v>
      </c>
      <c r="G556" s="34" t="s">
        <v>7</v>
      </c>
      <c r="H556" s="38" t="s">
        <v>20</v>
      </c>
      <c r="I556" s="38">
        <v>19</v>
      </c>
      <c r="J556" s="83">
        <f>IFERROR(VLOOKUP(I556,'[1]ABC Master Lists'!$B$2:$I$346,4,FALSE)," ")</f>
        <v>20</v>
      </c>
      <c r="K556" s="83">
        <f>IFERROR(VLOOKUP(I556,'[1]ABC Master Lists'!$B$2:$I$346,8,FALSE)," ")</f>
        <v>8</v>
      </c>
      <c r="L556" s="122" t="str">
        <f>IFERROR(VLOOKUP(J556,'[1]ABC Master Lists'!$AQ$2:$AS$12,3,FALSE)," ")</f>
        <v>+</v>
      </c>
      <c r="M556" s="122" t="str">
        <f>IFERROR(VLOOKUP(K556,'[1]ABC Master Lists'!$AD$2:$AE$22,2,FALSE), " ")</f>
        <v>+</v>
      </c>
    </row>
    <row r="557" spans="4:13" x14ac:dyDescent="0.25">
      <c r="D557" s="29"/>
      <c r="E557" s="25" t="s">
        <v>33</v>
      </c>
      <c r="F557" s="23">
        <v>0.25</v>
      </c>
      <c r="G557" s="35" t="s">
        <v>54</v>
      </c>
      <c r="H557" s="39" t="s">
        <v>20</v>
      </c>
      <c r="I557" s="39"/>
      <c r="J557" s="82" t="str">
        <f>IFERROR(VLOOKUP(I557,'[1]ABC Master Lists'!$B$2:$I$346,4,FALSE)," ")</f>
        <v xml:space="preserve"> </v>
      </c>
      <c r="K557" s="82" t="str">
        <f>IFERROR(VLOOKUP(I557,'[1]ABC Master Lists'!$B$2:$I$346,8,FALSE)," ")</f>
        <v xml:space="preserve"> </v>
      </c>
      <c r="L557" s="121" t="str">
        <f>IFERROR(VLOOKUP(J557,'[1]ABC Master Lists'!$AQ$2:$AS$12,3,FALSE)," ")</f>
        <v xml:space="preserve"> </v>
      </c>
      <c r="M557" s="121" t="str">
        <f>IFERROR(VLOOKUP(K557,'[1]ABC Master Lists'!$AD$2:$AE$22,2,FALSE), " ")</f>
        <v xml:space="preserve"> </v>
      </c>
    </row>
    <row r="558" spans="4:13" x14ac:dyDescent="0.25">
      <c r="D558" s="26">
        <v>13</v>
      </c>
      <c r="E558" s="24" t="s">
        <v>28</v>
      </c>
      <c r="F558" s="4">
        <v>4</v>
      </c>
      <c r="G558" s="32" t="s">
        <v>7</v>
      </c>
      <c r="H558" s="36" t="s">
        <v>20</v>
      </c>
      <c r="I558" s="36">
        <v>200</v>
      </c>
      <c r="J558" s="79">
        <f>IFERROR(VLOOKUP(I558,'[1]ABC Master Lists'!$B$2:$I$346,4,FALSE)," ")</f>
        <v>2229</v>
      </c>
      <c r="K558" s="79">
        <f>IFERROR(VLOOKUP(I558,'[1]ABC Master Lists'!$B$2:$I$346,8,FALSE)," ")</f>
        <v>8</v>
      </c>
      <c r="L558" s="118" t="str">
        <f>IFERROR(VLOOKUP(J558,'[1]ABC Master Lists'!$AQ$2:$AS$12,3,FALSE)," ")</f>
        <v>+</v>
      </c>
      <c r="M558" s="118" t="str">
        <f>IFERROR(VLOOKUP(K558,'[1]ABC Master Lists'!$AD$2:$AE$22,2,FALSE), " ")</f>
        <v>+</v>
      </c>
    </row>
    <row r="559" spans="4:13" x14ac:dyDescent="0.25">
      <c r="E559" s="24" t="s">
        <v>33</v>
      </c>
      <c r="F559" s="4">
        <v>0.25</v>
      </c>
      <c r="G559" s="32" t="s">
        <v>54</v>
      </c>
      <c r="H559" s="36" t="s">
        <v>20</v>
      </c>
      <c r="J559" s="79" t="str">
        <f>IFERROR(VLOOKUP(I559,'[1]ABC Master Lists'!$B$2:$I$346,4,FALSE)," ")</f>
        <v xml:space="preserve"> </v>
      </c>
      <c r="K559" s="79" t="str">
        <f>IFERROR(VLOOKUP(I559,'[1]ABC Master Lists'!$B$2:$I$346,8,FALSE)," ")</f>
        <v xml:space="preserve"> </v>
      </c>
      <c r="L559" s="118" t="str">
        <f>IFERROR(VLOOKUP(J559,'[1]ABC Master Lists'!$AQ$2:$AS$12,3,FALSE)," ")</f>
        <v xml:space="preserve"> </v>
      </c>
      <c r="M559" s="118" t="str">
        <f>IFERROR(VLOOKUP(K559,'[1]ABC Master Lists'!$AD$2:$AE$22,2,FALSE), " ")</f>
        <v xml:space="preserve"> </v>
      </c>
    </row>
    <row r="560" spans="4:13" x14ac:dyDescent="0.25">
      <c r="D560" s="28">
        <v>14</v>
      </c>
      <c r="E560" s="31" t="s">
        <v>18</v>
      </c>
      <c r="F560" s="20">
        <v>6</v>
      </c>
      <c r="G560" s="34" t="s">
        <v>11</v>
      </c>
      <c r="H560" s="38" t="s">
        <v>5</v>
      </c>
      <c r="I560" s="38">
        <v>65</v>
      </c>
      <c r="J560" s="83">
        <f>IFERROR(VLOOKUP(I560,'[1]ABC Master Lists'!$B$2:$I$346,4,FALSE)," ")</f>
        <v>184</v>
      </c>
      <c r="K560" s="83">
        <f>IFERROR(VLOOKUP(I560,'[1]ABC Master Lists'!$B$2:$I$346,8,FALSE)," ")</f>
        <v>6</v>
      </c>
      <c r="L560" s="122" t="str">
        <f>IFERROR(VLOOKUP(J560,'[1]ABC Master Lists'!$AQ$2:$AS$12,3,FALSE)," ")</f>
        <v xml:space="preserve"> </v>
      </c>
      <c r="M560" s="122" t="str">
        <f>IFERROR(VLOOKUP(K560,'[1]ABC Master Lists'!$AD$2:$AE$22,2,FALSE), " ")</f>
        <v>+</v>
      </c>
    </row>
    <row r="561" spans="1:13" x14ac:dyDescent="0.25">
      <c r="E561" s="24" t="s">
        <v>10</v>
      </c>
      <c r="F561" s="4">
        <v>8</v>
      </c>
      <c r="G561" s="32" t="s">
        <v>7</v>
      </c>
      <c r="H561" s="36" t="s">
        <v>5</v>
      </c>
      <c r="J561" s="79" t="str">
        <f>IFERROR(VLOOKUP(I561,'[1]ABC Master Lists'!$B$2:$I$346,4,FALSE)," ")</f>
        <v xml:space="preserve"> </v>
      </c>
      <c r="K561" s="79" t="str">
        <f>IFERROR(VLOOKUP(I561,'[1]ABC Master Lists'!$B$2:$I$346,8,FALSE)," ")</f>
        <v xml:space="preserve"> </v>
      </c>
      <c r="L561" s="118" t="str">
        <f>IFERROR(VLOOKUP(J561,'[1]ABC Master Lists'!$AQ$2:$AS$12,3,FALSE)," ")</f>
        <v xml:space="preserve"> </v>
      </c>
      <c r="M561" s="118" t="str">
        <f>IFERROR(VLOOKUP(K561,'[1]ABC Master Lists'!$AD$2:$AE$22,2,FALSE), " ")</f>
        <v xml:space="preserve"> </v>
      </c>
    </row>
    <row r="562" spans="1:13" x14ac:dyDescent="0.25">
      <c r="D562" s="29"/>
      <c r="E562" s="25" t="s">
        <v>33</v>
      </c>
      <c r="F562" s="23">
        <v>0.25</v>
      </c>
      <c r="G562" s="35" t="s">
        <v>54</v>
      </c>
      <c r="H562" s="39" t="s">
        <v>5</v>
      </c>
      <c r="I562" s="39"/>
      <c r="J562" s="82" t="str">
        <f>IFERROR(VLOOKUP(I562,'[1]ABC Master Lists'!$B$2:$I$346,4,FALSE)," ")</f>
        <v xml:space="preserve"> </v>
      </c>
      <c r="K562" s="82" t="str">
        <f>IFERROR(VLOOKUP(I562,'[1]ABC Master Lists'!$B$2:$I$346,8,FALSE)," ")</f>
        <v xml:space="preserve"> </v>
      </c>
      <c r="L562" s="121" t="str">
        <f>IFERROR(VLOOKUP(J562,'[1]ABC Master Lists'!$AQ$2:$AS$12,3,FALSE)," ")</f>
        <v xml:space="preserve"> </v>
      </c>
      <c r="M562" s="121" t="str">
        <f>IFERROR(VLOOKUP(K562,'[1]ABC Master Lists'!$AD$2:$AE$22,2,FALSE), " ")</f>
        <v xml:space="preserve"> </v>
      </c>
    </row>
    <row r="563" spans="1:13" x14ac:dyDescent="0.25">
      <c r="D563" s="26">
        <v>15</v>
      </c>
      <c r="E563" s="24" t="s">
        <v>12</v>
      </c>
      <c r="F563" s="4">
        <v>30</v>
      </c>
      <c r="G563" s="32" t="s">
        <v>7</v>
      </c>
      <c r="H563" s="36" t="s">
        <v>5</v>
      </c>
      <c r="I563" s="36">
        <v>215</v>
      </c>
      <c r="J563" s="79">
        <f>IFERROR(VLOOKUP(I563,'[1]ABC Master Lists'!$B$2:$I$346,4,FALSE)," ")</f>
        <v>28</v>
      </c>
      <c r="K563" s="79">
        <f>IFERROR(VLOOKUP(I563,'[1]ABC Master Lists'!$B$2:$I$346,8,FALSE)," ")</f>
        <v>67</v>
      </c>
      <c r="L563" s="118" t="str">
        <f>IFERROR(VLOOKUP(J563,'[1]ABC Master Lists'!$AQ$2:$AS$12,3,FALSE)," ")</f>
        <v>+</v>
      </c>
      <c r="M563" s="118" t="str">
        <f>IFERROR(VLOOKUP(K563,'[1]ABC Master Lists'!$AD$2:$AE$22,2,FALSE), " ")</f>
        <v>+</v>
      </c>
    </row>
    <row r="564" spans="1:13" x14ac:dyDescent="0.25">
      <c r="E564" s="24" t="s">
        <v>33</v>
      </c>
      <c r="F564" s="4">
        <v>0.25</v>
      </c>
      <c r="G564" s="32" t="s">
        <v>54</v>
      </c>
      <c r="H564" s="36" t="s">
        <v>5</v>
      </c>
      <c r="J564" s="79" t="str">
        <f>IFERROR(VLOOKUP(I564,'[1]ABC Master Lists'!$B$2:$I$346,4,FALSE)," ")</f>
        <v xml:space="preserve"> </v>
      </c>
      <c r="K564" s="79" t="str">
        <f>IFERROR(VLOOKUP(I564,'[1]ABC Master Lists'!$B$2:$I$346,8,FALSE)," ")</f>
        <v xml:space="preserve"> </v>
      </c>
      <c r="L564" s="118" t="str">
        <f>IFERROR(VLOOKUP(J564,'[1]ABC Master Lists'!$AQ$2:$AS$12,3,FALSE)," ")</f>
        <v xml:space="preserve"> </v>
      </c>
      <c r="M564" s="118" t="str">
        <f>IFERROR(VLOOKUP(K564,'[1]ABC Master Lists'!$AD$2:$AE$22,2,FALSE), " ")</f>
        <v xml:space="preserve"> </v>
      </c>
    </row>
    <row r="565" spans="1:13" x14ac:dyDescent="0.25">
      <c r="E565" s="24" t="s">
        <v>12</v>
      </c>
      <c r="F565" s="4">
        <v>30</v>
      </c>
      <c r="G565" s="32" t="s">
        <v>7</v>
      </c>
      <c r="H565" s="36" t="s">
        <v>57</v>
      </c>
      <c r="J565" s="79" t="str">
        <f>IFERROR(VLOOKUP(I565,'[1]ABC Master Lists'!$B$2:$I$346,4,FALSE)," ")</f>
        <v xml:space="preserve"> </v>
      </c>
      <c r="K565" s="79" t="str">
        <f>IFERROR(VLOOKUP(I565,'[1]ABC Master Lists'!$B$2:$I$346,8,FALSE)," ")</f>
        <v xml:space="preserve"> </v>
      </c>
      <c r="L565" s="118" t="str">
        <f>IFERROR(VLOOKUP(J565,'[1]ABC Master Lists'!$AQ$2:$AS$12,3,FALSE)," ")</f>
        <v xml:space="preserve"> </v>
      </c>
      <c r="M565" s="118" t="str">
        <f>IFERROR(VLOOKUP(K565,'[1]ABC Master Lists'!$AD$2:$AE$22,2,FALSE), " ")</f>
        <v xml:space="preserve"> </v>
      </c>
    </row>
    <row r="566" spans="1:13" x14ac:dyDescent="0.25">
      <c r="E566" s="24" t="s">
        <v>33</v>
      </c>
      <c r="F566" s="4">
        <v>0.25</v>
      </c>
      <c r="G566" s="32" t="s">
        <v>54</v>
      </c>
      <c r="H566" s="36" t="s">
        <v>57</v>
      </c>
      <c r="J566" s="79" t="str">
        <f>IFERROR(VLOOKUP(I566,'[1]ABC Master Lists'!$B$2:$I$346,4,FALSE)," ")</f>
        <v xml:space="preserve"> </v>
      </c>
      <c r="K566" s="79" t="str">
        <f>IFERROR(VLOOKUP(I566,'[1]ABC Master Lists'!$B$2:$I$346,8,FALSE)," ")</f>
        <v xml:space="preserve"> </v>
      </c>
      <c r="L566" s="118" t="str">
        <f>IFERROR(VLOOKUP(J566,'[1]ABC Master Lists'!$AQ$2:$AS$12,3,FALSE)," ")</f>
        <v xml:space="preserve"> </v>
      </c>
      <c r="M566" s="118" t="str">
        <f>IFERROR(VLOOKUP(K566,'[1]ABC Master Lists'!$AD$2:$AE$22,2,FALSE), " ")</f>
        <v xml:space="preserve"> </v>
      </c>
    </row>
    <row r="567" spans="1:13" x14ac:dyDescent="0.25">
      <c r="D567" s="28">
        <v>16</v>
      </c>
      <c r="E567" s="31" t="s">
        <v>10</v>
      </c>
      <c r="F567" s="20">
        <v>11</v>
      </c>
      <c r="G567" s="34" t="s">
        <v>11</v>
      </c>
      <c r="H567" s="38" t="s">
        <v>5</v>
      </c>
      <c r="I567" s="38">
        <v>95</v>
      </c>
      <c r="J567" s="83">
        <f>IFERROR(VLOOKUP(I567,'[1]ABC Master Lists'!$B$2:$I$346,4,FALSE)," ")</f>
        <v>4</v>
      </c>
      <c r="K567" s="83">
        <f>IFERROR(VLOOKUP(I567,'[1]ABC Master Lists'!$B$2:$I$346,8,FALSE)," ")</f>
        <v>6</v>
      </c>
      <c r="L567" s="122" t="str">
        <f>IFERROR(VLOOKUP(J567,'[1]ABC Master Lists'!$AQ$2:$AS$12,3,FALSE)," ")</f>
        <v>+</v>
      </c>
      <c r="M567" s="122" t="str">
        <f>IFERROR(VLOOKUP(K567,'[1]ABC Master Lists'!$AD$2:$AE$22,2,FALSE), " ")</f>
        <v>+</v>
      </c>
    </row>
    <row r="568" spans="1:13" x14ac:dyDescent="0.25">
      <c r="D568" s="29"/>
      <c r="E568" s="25" t="s">
        <v>33</v>
      </c>
      <c r="F568" s="23">
        <v>0.25</v>
      </c>
      <c r="G568" s="35" t="s">
        <v>54</v>
      </c>
      <c r="H568" s="39" t="s">
        <v>5</v>
      </c>
      <c r="I568" s="39"/>
      <c r="J568" s="82" t="str">
        <f>IFERROR(VLOOKUP(I568,'[1]ABC Master Lists'!$B$2:$I$346,4,FALSE)," ")</f>
        <v xml:space="preserve"> </v>
      </c>
      <c r="K568" s="82" t="str">
        <f>IFERROR(VLOOKUP(I568,'[1]ABC Master Lists'!$B$2:$I$346,8,FALSE)," ")</f>
        <v xml:space="preserve"> </v>
      </c>
      <c r="L568" s="121" t="str">
        <f>IFERROR(VLOOKUP(J568,'[1]ABC Master Lists'!$AQ$2:$AS$12,3,FALSE)," ")</f>
        <v xml:space="preserve"> </v>
      </c>
      <c r="M568" s="121" t="str">
        <f>IFERROR(VLOOKUP(K568,'[1]ABC Master Lists'!$AD$2:$AE$22,2,FALSE), " ")</f>
        <v xml:space="preserve"> </v>
      </c>
    </row>
    <row r="569" spans="1:13" x14ac:dyDescent="0.25">
      <c r="D569" s="26">
        <v>17</v>
      </c>
      <c r="E569" s="24" t="s">
        <v>10</v>
      </c>
      <c r="F569" s="4">
        <v>11</v>
      </c>
      <c r="G569" s="32" t="s">
        <v>11</v>
      </c>
      <c r="H569" s="36" t="s">
        <v>20</v>
      </c>
      <c r="I569" s="36">
        <v>96</v>
      </c>
      <c r="J569" s="79">
        <f>IFERROR(VLOOKUP(I569,'[1]ABC Master Lists'!$B$2:$I$346,4,FALSE)," ")</f>
        <v>4</v>
      </c>
      <c r="K569" s="79">
        <f>IFERROR(VLOOKUP(I569,'[1]ABC Master Lists'!$B$2:$I$346,8,FALSE)," ")</f>
        <v>8</v>
      </c>
      <c r="L569" s="118" t="str">
        <f>IFERROR(VLOOKUP(J569,'[1]ABC Master Lists'!$AQ$2:$AS$12,3,FALSE)," ")</f>
        <v>+</v>
      </c>
      <c r="M569" s="118" t="str">
        <f>IFERROR(VLOOKUP(K569,'[1]ABC Master Lists'!$AD$2:$AE$22,2,FALSE), " ")</f>
        <v>+</v>
      </c>
    </row>
    <row r="570" spans="1:13" x14ac:dyDescent="0.25">
      <c r="E570" s="24" t="s">
        <v>33</v>
      </c>
      <c r="F570" s="4">
        <v>0.25</v>
      </c>
      <c r="G570" s="32" t="s">
        <v>54</v>
      </c>
      <c r="H570" s="36" t="s">
        <v>20</v>
      </c>
      <c r="J570" s="79" t="str">
        <f>IFERROR(VLOOKUP(I570,'[1]ABC Master Lists'!$B$2:$I$346,4,FALSE)," ")</f>
        <v xml:space="preserve"> </v>
      </c>
      <c r="K570" s="79" t="str">
        <f>IFERROR(VLOOKUP(I570,'[1]ABC Master Lists'!$B$2:$I$346,8,FALSE)," ")</f>
        <v xml:space="preserve"> </v>
      </c>
      <c r="L570" s="118" t="str">
        <f>IFERROR(VLOOKUP(J570,'[1]ABC Master Lists'!$AQ$2:$AS$12,3,FALSE)," ")</f>
        <v xml:space="preserve"> </v>
      </c>
      <c r="M570" s="118" t="str">
        <f>IFERROR(VLOOKUP(K570,'[1]ABC Master Lists'!$AD$2:$AE$22,2,FALSE), " ")</f>
        <v xml:space="preserve"> </v>
      </c>
    </row>
    <row r="571" spans="1:13" x14ac:dyDescent="0.25">
      <c r="D571" s="28">
        <v>18</v>
      </c>
      <c r="E571" s="31" t="s">
        <v>10</v>
      </c>
      <c r="F571" s="20">
        <v>11</v>
      </c>
      <c r="G571" s="34" t="s">
        <v>11</v>
      </c>
      <c r="H571" s="38" t="s">
        <v>5</v>
      </c>
      <c r="I571" s="38">
        <v>100</v>
      </c>
      <c r="J571" s="83">
        <f>IFERROR(VLOOKUP(I571,'[1]ABC Master Lists'!$B$2:$I$346,4,FALSE)," ")</f>
        <v>4</v>
      </c>
      <c r="K571" s="83">
        <f>IFERROR(VLOOKUP(I571,'[1]ABC Master Lists'!$B$2:$I$346,8,FALSE)," ")</f>
        <v>68</v>
      </c>
      <c r="L571" s="122" t="str">
        <f>IFERROR(VLOOKUP(J571,'[1]ABC Master Lists'!$AQ$2:$AS$12,3,FALSE)," ")</f>
        <v>+</v>
      </c>
      <c r="M571" s="122" t="str">
        <f>IFERROR(VLOOKUP(K571,'[1]ABC Master Lists'!$AD$2:$AE$22,2,FALSE), " ")</f>
        <v>+</v>
      </c>
    </row>
    <row r="572" spans="1:13" x14ac:dyDescent="0.25">
      <c r="E572" s="24" t="s">
        <v>33</v>
      </c>
      <c r="F572" s="4">
        <v>0.25</v>
      </c>
      <c r="G572" s="32" t="s">
        <v>54</v>
      </c>
      <c r="H572" s="36" t="s">
        <v>5</v>
      </c>
      <c r="J572" s="79" t="str">
        <f>IFERROR(VLOOKUP(I572,'[1]ABC Master Lists'!$B$2:$I$346,4,FALSE)," ")</f>
        <v xml:space="preserve"> </v>
      </c>
      <c r="K572" s="79" t="str">
        <f>IFERROR(VLOOKUP(I572,'[1]ABC Master Lists'!$B$2:$I$346,8,FALSE)," ")</f>
        <v xml:space="preserve"> </v>
      </c>
      <c r="L572" s="118" t="str">
        <f>IFERROR(VLOOKUP(J572,'[1]ABC Master Lists'!$AQ$2:$AS$12,3,FALSE)," ")</f>
        <v xml:space="preserve"> </v>
      </c>
      <c r="M572" s="118" t="str">
        <f>IFERROR(VLOOKUP(K572,'[1]ABC Master Lists'!$AD$2:$AE$22,2,FALSE), " ")</f>
        <v xml:space="preserve"> </v>
      </c>
    </row>
    <row r="573" spans="1:13" x14ac:dyDescent="0.25">
      <c r="E573" s="24" t="s">
        <v>10</v>
      </c>
      <c r="F573" s="4">
        <v>11</v>
      </c>
      <c r="G573" s="32" t="s">
        <v>11</v>
      </c>
      <c r="H573" s="36" t="s">
        <v>20</v>
      </c>
      <c r="J573" s="79" t="str">
        <f>IFERROR(VLOOKUP(I573,'[1]ABC Master Lists'!$B$2:$I$346,4,FALSE)," ")</f>
        <v xml:space="preserve"> </v>
      </c>
      <c r="K573" s="79" t="str">
        <f>IFERROR(VLOOKUP(I573,'[1]ABC Master Lists'!$B$2:$I$346,8,FALSE)," ")</f>
        <v xml:space="preserve"> </v>
      </c>
      <c r="L573" s="118" t="str">
        <f>IFERROR(VLOOKUP(J573,'[1]ABC Master Lists'!$AQ$2:$AS$12,3,FALSE)," ")</f>
        <v xml:space="preserve"> </v>
      </c>
      <c r="M573" s="118" t="str">
        <f>IFERROR(VLOOKUP(K573,'[1]ABC Master Lists'!$AD$2:$AE$22,2,FALSE), " ")</f>
        <v xml:space="preserve"> </v>
      </c>
    </row>
    <row r="574" spans="1:13" x14ac:dyDescent="0.25">
      <c r="D574" s="29"/>
      <c r="E574" s="25" t="s">
        <v>33</v>
      </c>
      <c r="F574" s="23">
        <v>0.25</v>
      </c>
      <c r="G574" s="35" t="s">
        <v>54</v>
      </c>
      <c r="H574" s="39" t="s">
        <v>20</v>
      </c>
      <c r="I574" s="39"/>
      <c r="J574" s="82" t="str">
        <f>IFERROR(VLOOKUP(I574,'[1]ABC Master Lists'!$B$2:$I$346,4,FALSE)," ")</f>
        <v xml:space="preserve"> </v>
      </c>
      <c r="K574" s="82" t="str">
        <f>IFERROR(VLOOKUP(I574,'[1]ABC Master Lists'!$B$2:$I$346,8,FALSE)," ")</f>
        <v xml:space="preserve"> </v>
      </c>
      <c r="L574" s="121" t="str">
        <f>IFERROR(VLOOKUP(J574,'[1]ABC Master Lists'!$AQ$2:$AS$12,3,FALSE)," ")</f>
        <v xml:space="preserve"> </v>
      </c>
      <c r="M574" s="121" t="str">
        <f>IFERROR(VLOOKUP(K574,'[1]ABC Master Lists'!$AD$2:$AE$22,2,FALSE), " ")</f>
        <v xml:space="preserve"> </v>
      </c>
    </row>
    <row r="575" spans="1:13" x14ac:dyDescent="0.25">
      <c r="A575" s="31">
        <v>2016</v>
      </c>
      <c r="B575" s="31" t="s">
        <v>166</v>
      </c>
      <c r="C575" s="31">
        <v>2</v>
      </c>
      <c r="D575" s="26">
        <v>1</v>
      </c>
      <c r="E575" s="24" t="s">
        <v>79</v>
      </c>
      <c r="F575" s="4" t="s">
        <v>2</v>
      </c>
      <c r="G575" s="32" t="s">
        <v>2</v>
      </c>
      <c r="H575" s="36" t="s">
        <v>2</v>
      </c>
      <c r="I575" s="36">
        <v>1</v>
      </c>
      <c r="J575" s="79" t="str">
        <f>IFERROR(VLOOKUP(I575,'[1]ABC Master Lists'!$B$2:$I$346,4,FALSE)," ")</f>
        <v>.</v>
      </c>
      <c r="K575" s="79" t="str">
        <f>IFERROR(VLOOKUP(I575,'[1]ABC Master Lists'!$B$2:$I$346,8,FALSE)," ")</f>
        <v>.</v>
      </c>
      <c r="L575" s="118" t="str">
        <f>IFERROR(VLOOKUP(J575,'[1]ABC Master Lists'!$AQ$2:$AS$12,3,FALSE)," ")</f>
        <v>+</v>
      </c>
      <c r="M575" s="118" t="str">
        <f>IFERROR(VLOOKUP(K575,'[1]ABC Master Lists'!$AD$2:$AE$22,2,FALSE), " ")</f>
        <v>+</v>
      </c>
    </row>
    <row r="576" spans="1:13" x14ac:dyDescent="0.25">
      <c r="D576" s="27">
        <v>2</v>
      </c>
      <c r="E576" s="30" t="s">
        <v>95</v>
      </c>
      <c r="F576" s="17">
        <v>5</v>
      </c>
      <c r="G576" s="33" t="s">
        <v>7</v>
      </c>
      <c r="H576" s="37" t="s">
        <v>5</v>
      </c>
      <c r="I576" s="37">
        <v>230</v>
      </c>
      <c r="J576" s="81">
        <f>IFERROR(VLOOKUP(I576,'[1]ABC Master Lists'!$B$2:$I$346,4,FALSE)," ")</f>
        <v>1426</v>
      </c>
      <c r="K576" s="81">
        <f>IFERROR(VLOOKUP(I576,'[1]ABC Master Lists'!$B$2:$I$346,8,FALSE)," ")</f>
        <v>6</v>
      </c>
      <c r="L576" s="120" t="str">
        <f>IFERROR(VLOOKUP(J576,'[1]ABC Master Lists'!$AQ$2:$AS$12,3,FALSE)," ")</f>
        <v xml:space="preserve"> </v>
      </c>
      <c r="M576" s="120" t="str">
        <f>IFERROR(VLOOKUP(K576,'[1]ABC Master Lists'!$AD$2:$AE$22,2,FALSE), " ")</f>
        <v>+</v>
      </c>
    </row>
    <row r="577" spans="4:13" x14ac:dyDescent="0.25">
      <c r="D577" s="26">
        <v>3</v>
      </c>
      <c r="E577" s="24" t="s">
        <v>95</v>
      </c>
      <c r="F577" s="4">
        <v>5</v>
      </c>
      <c r="G577" s="32" t="s">
        <v>7</v>
      </c>
      <c r="H577" s="36" t="s">
        <v>20</v>
      </c>
      <c r="I577" s="36">
        <v>231</v>
      </c>
      <c r="J577" s="79">
        <f>IFERROR(VLOOKUP(I577,'[1]ABC Master Lists'!$B$2:$I$346,4,FALSE)," ")</f>
        <v>1426</v>
      </c>
      <c r="K577" s="79">
        <f>IFERROR(VLOOKUP(I577,'[1]ABC Master Lists'!$B$2:$I$346,8,FALSE)," ")</f>
        <v>8</v>
      </c>
      <c r="L577" s="118" t="str">
        <f>IFERROR(VLOOKUP(J577,'[1]ABC Master Lists'!$AQ$2:$AS$12,3,FALSE)," ")</f>
        <v xml:space="preserve"> </v>
      </c>
      <c r="M577" s="118" t="str">
        <f>IFERROR(VLOOKUP(K577,'[1]ABC Master Lists'!$AD$2:$AE$22,2,FALSE), " ")</f>
        <v>+</v>
      </c>
    </row>
    <row r="578" spans="4:13" x14ac:dyDescent="0.25">
      <c r="D578" s="28">
        <v>4</v>
      </c>
      <c r="E578" s="31" t="s">
        <v>77</v>
      </c>
      <c r="F578" s="20">
        <v>3</v>
      </c>
      <c r="G578" s="34" t="s">
        <v>7</v>
      </c>
      <c r="H578" s="38" t="s">
        <v>5</v>
      </c>
      <c r="I578" s="38">
        <v>156</v>
      </c>
      <c r="J578" s="83">
        <f>IFERROR(VLOOKUP(I578,'[1]ABC Master Lists'!$B$2:$I$346,4,FALSE)," ")</f>
        <v>22</v>
      </c>
      <c r="K578" s="83">
        <f>IFERROR(VLOOKUP(I578,'[1]ABC Master Lists'!$B$2:$I$346,8,FALSE)," ")</f>
        <v>6</v>
      </c>
      <c r="L578" s="122" t="str">
        <f>IFERROR(VLOOKUP(J578,'[1]ABC Master Lists'!$AQ$2:$AS$12,3,FALSE)," ")</f>
        <v>+</v>
      </c>
      <c r="M578" s="122" t="str">
        <f>IFERROR(VLOOKUP(K578,'[1]ABC Master Lists'!$AD$2:$AE$22,2,FALSE), " ")</f>
        <v>+</v>
      </c>
    </row>
    <row r="579" spans="4:13" x14ac:dyDescent="0.25">
      <c r="D579" s="29"/>
      <c r="E579" s="25" t="s">
        <v>33</v>
      </c>
      <c r="F579" s="23">
        <v>0.125</v>
      </c>
      <c r="G579" s="35" t="s">
        <v>54</v>
      </c>
      <c r="H579" s="39" t="s">
        <v>5</v>
      </c>
      <c r="I579" s="39"/>
      <c r="J579" s="82" t="str">
        <f>IFERROR(VLOOKUP(I579,'[1]ABC Master Lists'!$B$2:$I$346,4,FALSE)," ")</f>
        <v xml:space="preserve"> </v>
      </c>
      <c r="K579" s="82" t="str">
        <f>IFERROR(VLOOKUP(I579,'[1]ABC Master Lists'!$B$2:$I$346,8,FALSE)," ")</f>
        <v xml:space="preserve"> </v>
      </c>
      <c r="L579" s="121" t="str">
        <f>IFERROR(VLOOKUP(J579,'[1]ABC Master Lists'!$AQ$2:$AS$12,3,FALSE)," ")</f>
        <v xml:space="preserve"> </v>
      </c>
      <c r="M579" s="121" t="str">
        <f>IFERROR(VLOOKUP(K579,'[1]ABC Master Lists'!$AD$2:$AE$22,2,FALSE), " ")</f>
        <v xml:space="preserve"> </v>
      </c>
    </row>
    <row r="580" spans="4:13" x14ac:dyDescent="0.25">
      <c r="D580" s="26">
        <v>5</v>
      </c>
      <c r="E580" s="24" t="s">
        <v>96</v>
      </c>
      <c r="F580" s="4">
        <v>7</v>
      </c>
      <c r="G580" s="32" t="s">
        <v>7</v>
      </c>
      <c r="H580" s="36" t="s">
        <v>5</v>
      </c>
      <c r="I580" s="36">
        <v>225</v>
      </c>
      <c r="J580" s="79" t="str">
        <f>IFERROR(VLOOKUP(I580,'[1]ABC Master Lists'!$B$2:$I$346,4,FALSE)," ")</f>
        <v>U</v>
      </c>
      <c r="K580" s="79">
        <f>IFERROR(VLOOKUP(I580,'[1]ABC Master Lists'!$B$2:$I$346,8,FALSE)," ")</f>
        <v>6</v>
      </c>
      <c r="L580" s="118" t="str">
        <f>IFERROR(VLOOKUP(J580,'[1]ABC Master Lists'!$AQ$2:$AS$12,3,FALSE)," ")</f>
        <v xml:space="preserve"> </v>
      </c>
      <c r="M580" s="118" t="str">
        <f>IFERROR(VLOOKUP(K580,'[1]ABC Master Lists'!$AD$2:$AE$22,2,FALSE), " ")</f>
        <v>+</v>
      </c>
    </row>
    <row r="581" spans="4:13" x14ac:dyDescent="0.25">
      <c r="E581" s="24" t="s">
        <v>33</v>
      </c>
      <c r="F581" s="4">
        <v>0.125</v>
      </c>
      <c r="G581" s="32" t="s">
        <v>54</v>
      </c>
      <c r="H581" s="36" t="s">
        <v>5</v>
      </c>
      <c r="J581" s="79" t="str">
        <f>IFERROR(VLOOKUP(I581,'[1]ABC Master Lists'!$B$2:$I$346,4,FALSE)," ")</f>
        <v xml:space="preserve"> </v>
      </c>
      <c r="K581" s="79" t="str">
        <f>IFERROR(VLOOKUP(I581,'[1]ABC Master Lists'!$B$2:$I$346,8,FALSE)," ")</f>
        <v xml:space="preserve"> </v>
      </c>
      <c r="L581" s="118" t="str">
        <f>IFERROR(VLOOKUP(J581,'[1]ABC Master Lists'!$AQ$2:$AS$12,3,FALSE)," ")</f>
        <v xml:space="preserve"> </v>
      </c>
      <c r="M581" s="118" t="str">
        <f>IFERROR(VLOOKUP(K581,'[1]ABC Master Lists'!$AD$2:$AE$22,2,FALSE), " ")</f>
        <v xml:space="preserve"> </v>
      </c>
    </row>
    <row r="582" spans="4:13" x14ac:dyDescent="0.25">
      <c r="D582" s="28">
        <v>6</v>
      </c>
      <c r="E582" s="31" t="s">
        <v>82</v>
      </c>
      <c r="F582" s="20">
        <v>6</v>
      </c>
      <c r="G582" s="34" t="s">
        <v>7</v>
      </c>
      <c r="H582" s="38" t="s">
        <v>5</v>
      </c>
      <c r="I582" s="38">
        <v>174</v>
      </c>
      <c r="J582" s="83">
        <f>IFERROR(VLOOKUP(I582,'[1]ABC Master Lists'!$B$2:$I$346,4,FALSE)," ")</f>
        <v>1422</v>
      </c>
      <c r="K582" s="83">
        <f>IFERROR(VLOOKUP(I582,'[1]ABC Master Lists'!$B$2:$I$346,8,FALSE)," ")</f>
        <v>6</v>
      </c>
      <c r="L582" s="122" t="str">
        <f>IFERROR(VLOOKUP(J582,'[1]ABC Master Lists'!$AQ$2:$AS$12,3,FALSE)," ")</f>
        <v xml:space="preserve"> </v>
      </c>
      <c r="M582" s="122" t="str">
        <f>IFERROR(VLOOKUP(K582,'[1]ABC Master Lists'!$AD$2:$AE$22,2,FALSE), " ")</f>
        <v>+</v>
      </c>
    </row>
    <row r="583" spans="4:13" x14ac:dyDescent="0.25">
      <c r="D583" s="29"/>
      <c r="E583" s="25" t="s">
        <v>33</v>
      </c>
      <c r="F583" s="23">
        <v>0.125</v>
      </c>
      <c r="G583" s="35" t="s">
        <v>54</v>
      </c>
      <c r="H583" s="39" t="s">
        <v>5</v>
      </c>
      <c r="I583" s="39"/>
      <c r="J583" s="82" t="str">
        <f>IFERROR(VLOOKUP(I583,'[1]ABC Master Lists'!$B$2:$I$346,4,FALSE)," ")</f>
        <v xml:space="preserve"> </v>
      </c>
      <c r="K583" s="82" t="str">
        <f>IFERROR(VLOOKUP(I583,'[1]ABC Master Lists'!$B$2:$I$346,8,FALSE)," ")</f>
        <v xml:space="preserve"> </v>
      </c>
      <c r="L583" s="121" t="str">
        <f>IFERROR(VLOOKUP(J583,'[1]ABC Master Lists'!$AQ$2:$AS$12,3,FALSE)," ")</f>
        <v xml:space="preserve"> </v>
      </c>
      <c r="M583" s="121" t="str">
        <f>IFERROR(VLOOKUP(K583,'[1]ABC Master Lists'!$AD$2:$AE$22,2,FALSE), " ")</f>
        <v xml:space="preserve"> </v>
      </c>
    </row>
    <row r="584" spans="4:13" x14ac:dyDescent="0.25">
      <c r="D584" s="26">
        <v>7</v>
      </c>
      <c r="E584" s="24" t="s">
        <v>77</v>
      </c>
      <c r="F584" s="4">
        <v>3</v>
      </c>
      <c r="G584" s="32" t="s">
        <v>7</v>
      </c>
      <c r="H584" s="36" t="s">
        <v>5</v>
      </c>
      <c r="I584" s="36">
        <v>166</v>
      </c>
      <c r="J584" s="79">
        <f>IFERROR(VLOOKUP(I584,'[1]ABC Master Lists'!$B$2:$I$346,4,FALSE)," ")</f>
        <v>2229</v>
      </c>
      <c r="K584" s="79">
        <f>IFERROR(VLOOKUP(I584,'[1]ABC Master Lists'!$B$2:$I$346,8,FALSE)," ")</f>
        <v>68</v>
      </c>
      <c r="L584" s="118" t="str">
        <f>IFERROR(VLOOKUP(J584,'[1]ABC Master Lists'!$AQ$2:$AS$12,3,FALSE)," ")</f>
        <v>+</v>
      </c>
      <c r="M584" s="118" t="str">
        <f>IFERROR(VLOOKUP(K584,'[1]ABC Master Lists'!$AD$2:$AE$22,2,FALSE), " ")</f>
        <v>+</v>
      </c>
    </row>
    <row r="585" spans="4:13" x14ac:dyDescent="0.25">
      <c r="E585" s="24" t="s">
        <v>33</v>
      </c>
      <c r="F585" s="4">
        <v>0.125</v>
      </c>
      <c r="G585" s="32" t="s">
        <v>54</v>
      </c>
      <c r="H585" s="36" t="s">
        <v>5</v>
      </c>
      <c r="J585" s="79" t="str">
        <f>IFERROR(VLOOKUP(I585,'[1]ABC Master Lists'!$B$2:$I$346,4,FALSE)," ")</f>
        <v xml:space="preserve"> </v>
      </c>
      <c r="K585" s="79" t="str">
        <f>IFERROR(VLOOKUP(I585,'[1]ABC Master Lists'!$B$2:$I$346,8,FALSE)," ")</f>
        <v xml:space="preserve"> </v>
      </c>
      <c r="L585" s="118" t="str">
        <f>IFERROR(VLOOKUP(J585,'[1]ABC Master Lists'!$AQ$2:$AS$12,3,FALSE)," ")</f>
        <v xml:space="preserve"> </v>
      </c>
      <c r="M585" s="118" t="str">
        <f>IFERROR(VLOOKUP(K585,'[1]ABC Master Lists'!$AD$2:$AE$22,2,FALSE), " ")</f>
        <v xml:space="preserve"> </v>
      </c>
    </row>
    <row r="586" spans="4:13" x14ac:dyDescent="0.25">
      <c r="D586" s="26" t="s">
        <v>85</v>
      </c>
      <c r="E586" s="24" t="s">
        <v>28</v>
      </c>
      <c r="F586" s="4">
        <v>4</v>
      </c>
      <c r="G586" s="32" t="s">
        <v>7</v>
      </c>
      <c r="H586" s="36" t="s">
        <v>20</v>
      </c>
      <c r="J586" s="79" t="str">
        <f>IFERROR(VLOOKUP(I586,'[1]ABC Master Lists'!$B$2:$I$346,4,FALSE)," ")</f>
        <v xml:space="preserve"> </v>
      </c>
      <c r="K586" s="79" t="str">
        <f>IFERROR(VLOOKUP(I586,'[1]ABC Master Lists'!$B$2:$I$346,8,FALSE)," ")</f>
        <v xml:space="preserve"> </v>
      </c>
      <c r="L586" s="118" t="str">
        <f>IFERROR(VLOOKUP(J586,'[1]ABC Master Lists'!$AQ$2:$AS$12,3,FALSE)," ")</f>
        <v xml:space="preserve"> </v>
      </c>
      <c r="M586" s="118" t="str">
        <f>IFERROR(VLOOKUP(K586,'[1]ABC Master Lists'!$AD$2:$AE$22,2,FALSE), " ")</f>
        <v xml:space="preserve"> </v>
      </c>
    </row>
    <row r="587" spans="4:13" x14ac:dyDescent="0.25">
      <c r="E587" s="24" t="s">
        <v>33</v>
      </c>
      <c r="F587" s="4">
        <v>0.125</v>
      </c>
      <c r="G587" s="32" t="s">
        <v>54</v>
      </c>
      <c r="H587" s="36" t="s">
        <v>20</v>
      </c>
      <c r="J587" s="79" t="str">
        <f>IFERROR(VLOOKUP(I587,'[1]ABC Master Lists'!$B$2:$I$346,4,FALSE)," ")</f>
        <v xml:space="preserve"> </v>
      </c>
      <c r="K587" s="79" t="str">
        <f>IFERROR(VLOOKUP(I587,'[1]ABC Master Lists'!$B$2:$I$346,8,FALSE)," ")</f>
        <v xml:space="preserve"> </v>
      </c>
      <c r="L587" s="118" t="str">
        <f>IFERROR(VLOOKUP(J587,'[1]ABC Master Lists'!$AQ$2:$AS$12,3,FALSE)," ")</f>
        <v xml:space="preserve"> </v>
      </c>
      <c r="M587" s="118" t="str">
        <f>IFERROR(VLOOKUP(K587,'[1]ABC Master Lists'!$AD$2:$AE$22,2,FALSE), " ")</f>
        <v xml:space="preserve"> </v>
      </c>
    </row>
    <row r="588" spans="4:13" x14ac:dyDescent="0.25">
      <c r="D588" s="28">
        <v>8</v>
      </c>
      <c r="E588" s="31" t="s">
        <v>96</v>
      </c>
      <c r="F588" s="20">
        <v>7</v>
      </c>
      <c r="G588" s="34" t="s">
        <v>7</v>
      </c>
      <c r="H588" s="38" t="s">
        <v>5</v>
      </c>
      <c r="I588" s="38">
        <v>226</v>
      </c>
      <c r="J588" s="83" t="str">
        <f>IFERROR(VLOOKUP(I588,'[1]ABC Master Lists'!$B$2:$I$346,4,FALSE)," ")</f>
        <v>U</v>
      </c>
      <c r="K588" s="83">
        <f>IFERROR(VLOOKUP(I588,'[1]ABC Master Lists'!$B$2:$I$346,8,FALSE)," ")</f>
        <v>68</v>
      </c>
      <c r="L588" s="122" t="str">
        <f>IFERROR(VLOOKUP(J588,'[1]ABC Master Lists'!$AQ$2:$AS$12,3,FALSE)," ")</f>
        <v xml:space="preserve"> </v>
      </c>
      <c r="M588" s="122" t="str">
        <f>IFERROR(VLOOKUP(K588,'[1]ABC Master Lists'!$AD$2:$AE$22,2,FALSE), " ")</f>
        <v>+</v>
      </c>
    </row>
    <row r="589" spans="4:13" x14ac:dyDescent="0.25">
      <c r="E589" s="24" t="s">
        <v>33</v>
      </c>
      <c r="F589" s="4">
        <v>0.125</v>
      </c>
      <c r="G589" s="32" t="s">
        <v>54</v>
      </c>
      <c r="H589" s="36" t="s">
        <v>5</v>
      </c>
      <c r="J589" s="79" t="str">
        <f>IFERROR(VLOOKUP(I589,'[1]ABC Master Lists'!$B$2:$I$346,4,FALSE)," ")</f>
        <v xml:space="preserve"> </v>
      </c>
      <c r="K589" s="79" t="str">
        <f>IFERROR(VLOOKUP(I589,'[1]ABC Master Lists'!$B$2:$I$346,8,FALSE)," ")</f>
        <v xml:space="preserve"> </v>
      </c>
      <c r="L589" s="118" t="str">
        <f>IFERROR(VLOOKUP(J589,'[1]ABC Master Lists'!$AQ$2:$AS$12,3,FALSE)," ")</f>
        <v xml:space="preserve"> </v>
      </c>
      <c r="M589" s="118" t="str">
        <f>IFERROR(VLOOKUP(K589,'[1]ABC Master Lists'!$AD$2:$AE$22,2,FALSE), " ")</f>
        <v xml:space="preserve"> </v>
      </c>
    </row>
    <row r="590" spans="4:13" x14ac:dyDescent="0.25">
      <c r="D590" s="26" t="s">
        <v>85</v>
      </c>
      <c r="E590" s="24" t="s">
        <v>96</v>
      </c>
      <c r="F590" s="4">
        <v>7</v>
      </c>
      <c r="G590" s="32" t="s">
        <v>7</v>
      </c>
      <c r="H590" s="36" t="s">
        <v>20</v>
      </c>
      <c r="J590" s="79" t="str">
        <f>IFERROR(VLOOKUP(I590,'[1]ABC Master Lists'!$B$2:$I$346,4,FALSE)," ")</f>
        <v xml:space="preserve"> </v>
      </c>
      <c r="K590" s="79" t="str">
        <f>IFERROR(VLOOKUP(I590,'[1]ABC Master Lists'!$B$2:$I$346,8,FALSE)," ")</f>
        <v xml:space="preserve"> </v>
      </c>
      <c r="L590" s="118" t="str">
        <f>IFERROR(VLOOKUP(J590,'[1]ABC Master Lists'!$AQ$2:$AS$12,3,FALSE)," ")</f>
        <v xml:space="preserve"> </v>
      </c>
      <c r="M590" s="118" t="str">
        <f>IFERROR(VLOOKUP(K590,'[1]ABC Master Lists'!$AD$2:$AE$22,2,FALSE), " ")</f>
        <v xml:space="preserve"> </v>
      </c>
    </row>
    <row r="591" spans="4:13" x14ac:dyDescent="0.25">
      <c r="D591" s="29"/>
      <c r="E591" s="25" t="s">
        <v>33</v>
      </c>
      <c r="F591" s="23">
        <v>0.125</v>
      </c>
      <c r="G591" s="35" t="s">
        <v>54</v>
      </c>
      <c r="H591" s="39" t="s">
        <v>20</v>
      </c>
      <c r="I591" s="39"/>
      <c r="J591" s="82" t="str">
        <f>IFERROR(VLOOKUP(I591,'[1]ABC Master Lists'!$B$2:$I$346,4,FALSE)," ")</f>
        <v xml:space="preserve"> </v>
      </c>
      <c r="K591" s="82" t="str">
        <f>IFERROR(VLOOKUP(I591,'[1]ABC Master Lists'!$B$2:$I$346,8,FALSE)," ")</f>
        <v xml:space="preserve"> </v>
      </c>
      <c r="L591" s="121" t="str">
        <f>IFERROR(VLOOKUP(J591,'[1]ABC Master Lists'!$AQ$2:$AS$12,3,FALSE)," ")</f>
        <v xml:space="preserve"> </v>
      </c>
      <c r="M591" s="121" t="str">
        <f>IFERROR(VLOOKUP(K591,'[1]ABC Master Lists'!$AD$2:$AE$22,2,FALSE), " ")</f>
        <v xml:space="preserve"> </v>
      </c>
    </row>
    <row r="592" spans="4:13" x14ac:dyDescent="0.25">
      <c r="D592" s="26">
        <v>9</v>
      </c>
      <c r="E592" s="24" t="s">
        <v>82</v>
      </c>
      <c r="F592" s="4">
        <v>6</v>
      </c>
      <c r="G592" s="32" t="s">
        <v>7</v>
      </c>
      <c r="H592" s="36" t="s">
        <v>5</v>
      </c>
      <c r="I592" s="36">
        <v>178</v>
      </c>
      <c r="J592" s="79" t="str">
        <f>IFERROR(VLOOKUP(I592,'[1]ABC Master Lists'!$B$2:$I$346,4,FALSE)," ")</f>
        <v>U1422</v>
      </c>
      <c r="K592" s="79">
        <f>IFERROR(VLOOKUP(I592,'[1]ABC Master Lists'!$B$2:$I$346,8,FALSE)," ")</f>
        <v>68</v>
      </c>
      <c r="L592" s="118" t="str">
        <f>IFERROR(VLOOKUP(J592,'[1]ABC Master Lists'!$AQ$2:$AS$12,3,FALSE)," ")</f>
        <v xml:space="preserve"> </v>
      </c>
      <c r="M592" s="118" t="str">
        <f>IFERROR(VLOOKUP(K592,'[1]ABC Master Lists'!$AD$2:$AE$22,2,FALSE), " ")</f>
        <v>+</v>
      </c>
    </row>
    <row r="593" spans="4:13" x14ac:dyDescent="0.25">
      <c r="E593" s="24" t="s">
        <v>33</v>
      </c>
      <c r="F593" s="4">
        <v>0.125</v>
      </c>
      <c r="G593" s="32" t="s">
        <v>54</v>
      </c>
      <c r="H593" s="36" t="s">
        <v>5</v>
      </c>
      <c r="J593" s="79" t="str">
        <f>IFERROR(VLOOKUP(I593,'[1]ABC Master Lists'!$B$2:$I$346,4,FALSE)," ")</f>
        <v xml:space="preserve"> </v>
      </c>
      <c r="K593" s="79" t="str">
        <f>IFERROR(VLOOKUP(I593,'[1]ABC Master Lists'!$B$2:$I$346,8,FALSE)," ")</f>
        <v xml:space="preserve"> </v>
      </c>
      <c r="L593" s="118" t="str">
        <f>IFERROR(VLOOKUP(J593,'[1]ABC Master Lists'!$AQ$2:$AS$12,3,FALSE)," ")</f>
        <v xml:space="preserve"> </v>
      </c>
      <c r="M593" s="118" t="str">
        <f>IFERROR(VLOOKUP(K593,'[1]ABC Master Lists'!$AD$2:$AE$22,2,FALSE), " ")</f>
        <v xml:space="preserve"> </v>
      </c>
    </row>
    <row r="594" spans="4:13" x14ac:dyDescent="0.25">
      <c r="D594" s="26" t="s">
        <v>85</v>
      </c>
      <c r="E594" s="24" t="s">
        <v>96</v>
      </c>
      <c r="F594" s="4">
        <v>7</v>
      </c>
      <c r="G594" s="32" t="s">
        <v>7</v>
      </c>
      <c r="H594" s="36" t="s">
        <v>20</v>
      </c>
      <c r="J594" s="79" t="str">
        <f>IFERROR(VLOOKUP(I594,'[1]ABC Master Lists'!$B$2:$I$346,4,FALSE)," ")</f>
        <v xml:space="preserve"> </v>
      </c>
      <c r="K594" s="79" t="str">
        <f>IFERROR(VLOOKUP(I594,'[1]ABC Master Lists'!$B$2:$I$346,8,FALSE)," ")</f>
        <v xml:space="preserve"> </v>
      </c>
      <c r="L594" s="118" t="str">
        <f>IFERROR(VLOOKUP(J594,'[1]ABC Master Lists'!$AQ$2:$AS$12,3,FALSE)," ")</f>
        <v xml:space="preserve"> </v>
      </c>
      <c r="M594" s="118" t="str">
        <f>IFERROR(VLOOKUP(K594,'[1]ABC Master Lists'!$AD$2:$AE$22,2,FALSE), " ")</f>
        <v xml:space="preserve"> </v>
      </c>
    </row>
    <row r="595" spans="4:13" x14ac:dyDescent="0.25">
      <c r="E595" s="24" t="s">
        <v>33</v>
      </c>
      <c r="F595" s="4">
        <v>0.125</v>
      </c>
      <c r="G595" s="32" t="s">
        <v>54</v>
      </c>
      <c r="H595" s="36" t="s">
        <v>20</v>
      </c>
      <c r="J595" s="79" t="str">
        <f>IFERROR(VLOOKUP(I595,'[1]ABC Master Lists'!$B$2:$I$346,4,FALSE)," ")</f>
        <v xml:space="preserve"> </v>
      </c>
      <c r="K595" s="79" t="str">
        <f>IFERROR(VLOOKUP(I595,'[1]ABC Master Lists'!$B$2:$I$346,8,FALSE)," ")</f>
        <v xml:space="preserve"> </v>
      </c>
      <c r="L595" s="118" t="str">
        <f>IFERROR(VLOOKUP(J595,'[1]ABC Master Lists'!$AQ$2:$AS$12,3,FALSE)," ")</f>
        <v xml:space="preserve"> </v>
      </c>
      <c r="M595" s="118" t="str">
        <f>IFERROR(VLOOKUP(K595,'[1]ABC Master Lists'!$AD$2:$AE$22,2,FALSE), " ")</f>
        <v xml:space="preserve"> </v>
      </c>
    </row>
    <row r="596" spans="4:13" x14ac:dyDescent="0.25">
      <c r="D596" s="27">
        <v>10</v>
      </c>
      <c r="E596" s="30" t="s">
        <v>97</v>
      </c>
      <c r="F596" s="17">
        <v>2</v>
      </c>
      <c r="G596" s="33" t="s">
        <v>4</v>
      </c>
      <c r="H596" s="37" t="s">
        <v>5</v>
      </c>
      <c r="I596" s="37">
        <v>133</v>
      </c>
      <c r="J596" s="81">
        <f>IFERROR(VLOOKUP(I596,'[1]ABC Master Lists'!$B$2:$I$346,4,FALSE)," ")</f>
        <v>6</v>
      </c>
      <c r="K596" s="81">
        <f>IFERROR(VLOOKUP(I596,'[1]ABC Master Lists'!$B$2:$I$346,8,FALSE)," ")</f>
        <v>6</v>
      </c>
      <c r="L596" s="120" t="str">
        <f>IFERROR(VLOOKUP(J596,'[1]ABC Master Lists'!$AQ$2:$AS$12,3,FALSE)," ")</f>
        <v xml:space="preserve"> </v>
      </c>
      <c r="M596" s="120" t="str">
        <f>IFERROR(VLOOKUP(K596,'[1]ABC Master Lists'!$AD$2:$AE$22,2,FALSE), " ")</f>
        <v>+</v>
      </c>
    </row>
    <row r="597" spans="4:13" x14ac:dyDescent="0.25">
      <c r="D597" s="26">
        <v>11</v>
      </c>
      <c r="E597" s="24" t="s">
        <v>98</v>
      </c>
      <c r="F597" s="4">
        <v>2</v>
      </c>
      <c r="G597" s="32" t="s">
        <v>4</v>
      </c>
      <c r="H597" s="36" t="s">
        <v>5</v>
      </c>
      <c r="I597" s="36">
        <v>134</v>
      </c>
      <c r="J597" s="79">
        <f>IFERROR(VLOOKUP(I597,'[1]ABC Master Lists'!$B$2:$I$346,4,FALSE)," ")</f>
        <v>6</v>
      </c>
      <c r="K597" s="79">
        <f>IFERROR(VLOOKUP(I597,'[1]ABC Master Lists'!$B$2:$I$346,8,FALSE)," ")</f>
        <v>6</v>
      </c>
      <c r="L597" s="118" t="str">
        <f>IFERROR(VLOOKUP(J597,'[1]ABC Master Lists'!$AQ$2:$AS$12,3,FALSE)," ")</f>
        <v xml:space="preserve"> </v>
      </c>
      <c r="M597" s="118" t="str">
        <f>IFERROR(VLOOKUP(K597,'[1]ABC Master Lists'!$AD$2:$AE$22,2,FALSE), " ")</f>
        <v>+</v>
      </c>
    </row>
    <row r="598" spans="4:13" x14ac:dyDescent="0.25">
      <c r="D598" s="27">
        <v>12</v>
      </c>
      <c r="E598" s="30" t="s">
        <v>30</v>
      </c>
      <c r="F598" s="17">
        <v>4</v>
      </c>
      <c r="G598" s="33" t="s">
        <v>7</v>
      </c>
      <c r="H598" s="37" t="s">
        <v>5</v>
      </c>
      <c r="I598" s="37">
        <v>72</v>
      </c>
      <c r="J598" s="81">
        <f>IFERROR(VLOOKUP(I598,'[1]ABC Master Lists'!$B$2:$I$346,4,FALSE)," ")</f>
        <v>26</v>
      </c>
      <c r="K598" s="81">
        <f>IFERROR(VLOOKUP(I598,'[1]ABC Master Lists'!$B$2:$I$346,8,FALSE)," ")</f>
        <v>6</v>
      </c>
      <c r="L598" s="120" t="str">
        <f>IFERROR(VLOOKUP(J598,'[1]ABC Master Lists'!$AQ$2:$AS$12,3,FALSE)," ")</f>
        <v>+</v>
      </c>
      <c r="M598" s="120" t="str">
        <f>IFERROR(VLOOKUP(K598,'[1]ABC Master Lists'!$AD$2:$AE$22,2,FALSE), " ")</f>
        <v>+</v>
      </c>
    </row>
    <row r="599" spans="4:13" x14ac:dyDescent="0.25">
      <c r="E599" s="24" t="s">
        <v>33</v>
      </c>
      <c r="F599" s="4">
        <v>0.25</v>
      </c>
      <c r="G599" s="32" t="s">
        <v>54</v>
      </c>
      <c r="H599" s="36" t="s">
        <v>5</v>
      </c>
      <c r="J599" s="79" t="str">
        <f>IFERROR(VLOOKUP(I599,'[1]ABC Master Lists'!$B$2:$I$346,4,FALSE)," ")</f>
        <v xml:space="preserve"> </v>
      </c>
      <c r="K599" s="79" t="str">
        <f>IFERROR(VLOOKUP(I599,'[1]ABC Master Lists'!$B$2:$I$346,8,FALSE)," ")</f>
        <v xml:space="preserve"> </v>
      </c>
      <c r="L599" s="118" t="str">
        <f>IFERROR(VLOOKUP(J599,'[1]ABC Master Lists'!$AQ$2:$AS$12,3,FALSE)," ")</f>
        <v xml:space="preserve"> </v>
      </c>
      <c r="M599" s="118" t="str">
        <f>IFERROR(VLOOKUP(K599,'[1]ABC Master Lists'!$AD$2:$AE$22,2,FALSE), " ")</f>
        <v xml:space="preserve"> </v>
      </c>
    </row>
    <row r="600" spans="4:13" x14ac:dyDescent="0.25">
      <c r="D600" s="28">
        <v>13</v>
      </c>
      <c r="E600" s="31" t="s">
        <v>99</v>
      </c>
      <c r="F600" s="20">
        <v>13.7</v>
      </c>
      <c r="G600" s="34" t="s">
        <v>7</v>
      </c>
      <c r="H600" s="38" t="s">
        <v>5</v>
      </c>
      <c r="I600" s="38">
        <v>3</v>
      </c>
      <c r="J600" s="83" t="str">
        <f>IFERROR(VLOOKUP(I600,'[1]ABC Master Lists'!$B$2:$I$346,4,FALSE)," ")</f>
        <v>U</v>
      </c>
      <c r="K600" s="83">
        <f>IFERROR(VLOOKUP(I600,'[1]ABC Master Lists'!$B$2:$I$346,8,FALSE)," ")</f>
        <v>6</v>
      </c>
      <c r="L600" s="122" t="str">
        <f>IFERROR(VLOOKUP(J600,'[1]ABC Master Lists'!$AQ$2:$AS$12,3,FALSE)," ")</f>
        <v xml:space="preserve"> </v>
      </c>
      <c r="M600" s="122" t="str">
        <f>IFERROR(VLOOKUP(K600,'[1]ABC Master Lists'!$AD$2:$AE$22,2,FALSE), " ")</f>
        <v>+</v>
      </c>
    </row>
    <row r="601" spans="4:13" x14ac:dyDescent="0.25">
      <c r="D601" s="29"/>
      <c r="E601" s="25" t="s">
        <v>33</v>
      </c>
      <c r="F601" s="23">
        <v>0.25</v>
      </c>
      <c r="G601" s="35" t="s">
        <v>54</v>
      </c>
      <c r="H601" s="39" t="s">
        <v>5</v>
      </c>
      <c r="I601" s="39"/>
      <c r="J601" s="82" t="str">
        <f>IFERROR(VLOOKUP(I601,'[1]ABC Master Lists'!$B$2:$I$346,4,FALSE)," ")</f>
        <v xml:space="preserve"> </v>
      </c>
      <c r="K601" s="82" t="str">
        <f>IFERROR(VLOOKUP(I601,'[1]ABC Master Lists'!$B$2:$I$346,8,FALSE)," ")</f>
        <v xml:space="preserve"> </v>
      </c>
      <c r="L601" s="121" t="str">
        <f>IFERROR(VLOOKUP(J601,'[1]ABC Master Lists'!$AQ$2:$AS$12,3,FALSE)," ")</f>
        <v xml:space="preserve"> </v>
      </c>
      <c r="M601" s="121" t="str">
        <f>IFERROR(VLOOKUP(K601,'[1]ABC Master Lists'!$AD$2:$AE$22,2,FALSE), " ")</f>
        <v xml:space="preserve"> </v>
      </c>
    </row>
    <row r="602" spans="4:13" x14ac:dyDescent="0.25">
      <c r="D602" s="26">
        <v>14</v>
      </c>
      <c r="E602" s="24" t="s">
        <v>99</v>
      </c>
      <c r="F602" s="4">
        <v>13.7</v>
      </c>
      <c r="G602" s="32" t="s">
        <v>7</v>
      </c>
      <c r="H602" s="36" t="s">
        <v>5</v>
      </c>
      <c r="I602" s="36">
        <v>4</v>
      </c>
      <c r="J602" s="79" t="str">
        <f>IFERROR(VLOOKUP(I602,'[1]ABC Master Lists'!$B$2:$I$346,4,FALSE)," ")</f>
        <v>U</v>
      </c>
      <c r="K602" s="79">
        <f>IFERROR(VLOOKUP(I602,'[1]ABC Master Lists'!$B$2:$I$346,8,FALSE)," ")</f>
        <v>6</v>
      </c>
      <c r="L602" s="118" t="str">
        <f>IFERROR(VLOOKUP(J602,'[1]ABC Master Lists'!$AQ$2:$AS$12,3,FALSE)," ")</f>
        <v xml:space="preserve"> </v>
      </c>
      <c r="M602" s="118" t="str">
        <f>IFERROR(VLOOKUP(K602,'[1]ABC Master Lists'!$AD$2:$AE$22,2,FALSE), " ")</f>
        <v>+</v>
      </c>
    </row>
    <row r="603" spans="4:13" x14ac:dyDescent="0.25">
      <c r="E603" s="24" t="s">
        <v>33</v>
      </c>
      <c r="F603" s="4">
        <v>0.25</v>
      </c>
      <c r="G603" s="32" t="s">
        <v>54</v>
      </c>
      <c r="H603" s="36" t="s">
        <v>5</v>
      </c>
      <c r="J603" s="79" t="str">
        <f>IFERROR(VLOOKUP(I603,'[1]ABC Master Lists'!$B$2:$I$346,4,FALSE)," ")</f>
        <v xml:space="preserve"> </v>
      </c>
      <c r="K603" s="79" t="str">
        <f>IFERROR(VLOOKUP(I603,'[1]ABC Master Lists'!$B$2:$I$346,8,FALSE)," ")</f>
        <v xml:space="preserve"> </v>
      </c>
      <c r="L603" s="118" t="str">
        <f>IFERROR(VLOOKUP(J603,'[1]ABC Master Lists'!$AQ$2:$AS$12,3,FALSE)," ")</f>
        <v xml:space="preserve"> </v>
      </c>
      <c r="M603" s="118" t="str">
        <f>IFERROR(VLOOKUP(K603,'[1]ABC Master Lists'!$AD$2:$AE$22,2,FALSE), " ")</f>
        <v xml:space="preserve"> </v>
      </c>
    </row>
    <row r="604" spans="4:13" x14ac:dyDescent="0.25">
      <c r="D604" s="26" t="s">
        <v>85</v>
      </c>
      <c r="E604" s="24" t="s">
        <v>100</v>
      </c>
      <c r="F604" s="4">
        <v>13.7</v>
      </c>
      <c r="G604" s="32" t="s">
        <v>7</v>
      </c>
      <c r="H604" s="36" t="s">
        <v>20</v>
      </c>
      <c r="J604" s="79" t="str">
        <f>IFERROR(VLOOKUP(I604,'[1]ABC Master Lists'!$B$2:$I$346,4,FALSE)," ")</f>
        <v xml:space="preserve"> </v>
      </c>
      <c r="K604" s="79" t="str">
        <f>IFERROR(VLOOKUP(I604,'[1]ABC Master Lists'!$B$2:$I$346,8,FALSE)," ")</f>
        <v xml:space="preserve"> </v>
      </c>
      <c r="L604" s="118" t="str">
        <f>IFERROR(VLOOKUP(J604,'[1]ABC Master Lists'!$AQ$2:$AS$12,3,FALSE)," ")</f>
        <v xml:space="preserve"> </v>
      </c>
      <c r="M604" s="118" t="str">
        <f>IFERROR(VLOOKUP(K604,'[1]ABC Master Lists'!$AD$2:$AE$22,2,FALSE), " ")</f>
        <v xml:space="preserve"> </v>
      </c>
    </row>
    <row r="605" spans="4:13" x14ac:dyDescent="0.25">
      <c r="E605" s="24" t="s">
        <v>33</v>
      </c>
      <c r="F605" s="4">
        <v>0.25</v>
      </c>
      <c r="G605" s="32" t="s">
        <v>54</v>
      </c>
      <c r="H605" s="36" t="s">
        <v>20</v>
      </c>
      <c r="J605" s="79" t="str">
        <f>IFERROR(VLOOKUP(I605,'[1]ABC Master Lists'!$B$2:$I$346,4,FALSE)," ")</f>
        <v xml:space="preserve"> </v>
      </c>
      <c r="K605" s="79" t="str">
        <f>IFERROR(VLOOKUP(I605,'[1]ABC Master Lists'!$B$2:$I$346,8,FALSE)," ")</f>
        <v xml:space="preserve"> </v>
      </c>
      <c r="L605" s="118" t="str">
        <f>IFERROR(VLOOKUP(J605,'[1]ABC Master Lists'!$AQ$2:$AS$12,3,FALSE)," ")</f>
        <v xml:space="preserve"> </v>
      </c>
      <c r="M605" s="118" t="str">
        <f>IFERROR(VLOOKUP(K605,'[1]ABC Master Lists'!$AD$2:$AE$22,2,FALSE), " ")</f>
        <v xml:space="preserve"> </v>
      </c>
    </row>
    <row r="606" spans="4:13" x14ac:dyDescent="0.25">
      <c r="D606" s="28">
        <v>15</v>
      </c>
      <c r="E606" s="31" t="s">
        <v>100</v>
      </c>
      <c r="F606" s="20">
        <v>13.7</v>
      </c>
      <c r="G606" s="34" t="s">
        <v>7</v>
      </c>
      <c r="H606" s="38" t="s">
        <v>5</v>
      </c>
      <c r="I606" s="38">
        <v>12</v>
      </c>
      <c r="J606" s="83" t="str">
        <f>IFERROR(VLOOKUP(I606,'[1]ABC Master Lists'!$B$2:$I$346,4,FALSE)," ")</f>
        <v>U</v>
      </c>
      <c r="K606" s="83">
        <f>IFERROR(VLOOKUP(I606,'[1]ABC Master Lists'!$B$2:$I$346,8,FALSE)," ")</f>
        <v>6</v>
      </c>
      <c r="L606" s="122" t="str">
        <f>IFERROR(VLOOKUP(J606,'[1]ABC Master Lists'!$AQ$2:$AS$12,3,FALSE)," ")</f>
        <v xml:space="preserve"> </v>
      </c>
      <c r="M606" s="122" t="str">
        <f>IFERROR(VLOOKUP(K606,'[1]ABC Master Lists'!$AD$2:$AE$22,2,FALSE), " ")</f>
        <v>+</v>
      </c>
    </row>
    <row r="607" spans="4:13" x14ac:dyDescent="0.25">
      <c r="D607" s="29"/>
      <c r="E607" s="25" t="s">
        <v>33</v>
      </c>
      <c r="F607" s="23">
        <v>0.25</v>
      </c>
      <c r="G607" s="35" t="s">
        <v>54</v>
      </c>
      <c r="H607" s="39" t="s">
        <v>5</v>
      </c>
      <c r="I607" s="39"/>
      <c r="J607" s="82" t="str">
        <f>IFERROR(VLOOKUP(I607,'[1]ABC Master Lists'!$B$2:$I$346,4,FALSE)," ")</f>
        <v xml:space="preserve"> </v>
      </c>
      <c r="K607" s="82" t="str">
        <f>IFERROR(VLOOKUP(I607,'[1]ABC Master Lists'!$B$2:$I$346,8,FALSE)," ")</f>
        <v xml:space="preserve"> </v>
      </c>
      <c r="L607" s="121" t="str">
        <f>IFERROR(VLOOKUP(J607,'[1]ABC Master Lists'!$AQ$2:$AS$12,3,FALSE)," ")</f>
        <v xml:space="preserve"> </v>
      </c>
      <c r="M607" s="121" t="str">
        <f>IFERROR(VLOOKUP(K607,'[1]ABC Master Lists'!$AD$2:$AE$22,2,FALSE), " ")</f>
        <v xml:space="preserve"> </v>
      </c>
    </row>
    <row r="608" spans="4:13" x14ac:dyDescent="0.25">
      <c r="D608" s="26">
        <v>16</v>
      </c>
      <c r="E608" s="24" t="s">
        <v>100</v>
      </c>
      <c r="F608" s="4">
        <v>13.7</v>
      </c>
      <c r="G608" s="32" t="s">
        <v>7</v>
      </c>
      <c r="H608" s="36" t="s">
        <v>5</v>
      </c>
      <c r="I608" s="36">
        <v>5</v>
      </c>
      <c r="J608" s="79" t="str">
        <f>IFERROR(VLOOKUP(I608,'[1]ABC Master Lists'!$B$2:$I$346,4,FALSE)," ")</f>
        <v>U</v>
      </c>
      <c r="K608" s="79">
        <f>IFERROR(VLOOKUP(I608,'[1]ABC Master Lists'!$B$2:$I$346,8,FALSE)," ")</f>
        <v>68</v>
      </c>
      <c r="L608" s="118" t="str">
        <f>IFERROR(VLOOKUP(J608,'[1]ABC Master Lists'!$AQ$2:$AS$12,3,FALSE)," ")</f>
        <v xml:space="preserve"> </v>
      </c>
      <c r="M608" s="118" t="str">
        <f>IFERROR(VLOOKUP(K608,'[1]ABC Master Lists'!$AD$2:$AE$22,2,FALSE), " ")</f>
        <v>+</v>
      </c>
    </row>
    <row r="609" spans="1:13" x14ac:dyDescent="0.25">
      <c r="E609" s="24" t="s">
        <v>33</v>
      </c>
      <c r="F609" s="4">
        <v>0.25</v>
      </c>
      <c r="G609" s="32" t="s">
        <v>54</v>
      </c>
      <c r="H609" s="36" t="s">
        <v>5</v>
      </c>
      <c r="J609" s="79" t="str">
        <f>IFERROR(VLOOKUP(I609,'[1]ABC Master Lists'!$B$2:$I$346,4,FALSE)," ")</f>
        <v xml:space="preserve"> </v>
      </c>
      <c r="K609" s="79" t="str">
        <f>IFERROR(VLOOKUP(I609,'[1]ABC Master Lists'!$B$2:$I$346,8,FALSE)," ")</f>
        <v xml:space="preserve"> </v>
      </c>
      <c r="L609" s="118" t="str">
        <f>IFERROR(VLOOKUP(J609,'[1]ABC Master Lists'!$AQ$2:$AS$12,3,FALSE)," ")</f>
        <v xml:space="preserve"> </v>
      </c>
      <c r="M609" s="118" t="str">
        <f>IFERROR(VLOOKUP(K609,'[1]ABC Master Lists'!$AD$2:$AE$22,2,FALSE), " ")</f>
        <v xml:space="preserve"> </v>
      </c>
    </row>
    <row r="610" spans="1:13" x14ac:dyDescent="0.25">
      <c r="E610" s="24" t="s">
        <v>100</v>
      </c>
      <c r="F610" s="4">
        <v>13.7</v>
      </c>
      <c r="G610" s="32" t="s">
        <v>7</v>
      </c>
      <c r="H610" s="36" t="s">
        <v>20</v>
      </c>
      <c r="J610" s="79" t="str">
        <f>IFERROR(VLOOKUP(I610,'[1]ABC Master Lists'!$B$2:$I$346,4,FALSE)," ")</f>
        <v xml:space="preserve"> </v>
      </c>
      <c r="K610" s="79" t="str">
        <f>IFERROR(VLOOKUP(I610,'[1]ABC Master Lists'!$B$2:$I$346,8,FALSE)," ")</f>
        <v xml:space="preserve"> </v>
      </c>
      <c r="L610" s="118" t="str">
        <f>IFERROR(VLOOKUP(J610,'[1]ABC Master Lists'!$AQ$2:$AS$12,3,FALSE)," ")</f>
        <v xml:space="preserve"> </v>
      </c>
      <c r="M610" s="118" t="str">
        <f>IFERROR(VLOOKUP(K610,'[1]ABC Master Lists'!$AD$2:$AE$22,2,FALSE), " ")</f>
        <v xml:space="preserve"> </v>
      </c>
    </row>
    <row r="611" spans="1:13" x14ac:dyDescent="0.25">
      <c r="E611" s="24" t="s">
        <v>33</v>
      </c>
      <c r="F611" s="4">
        <v>0.25</v>
      </c>
      <c r="G611" s="32" t="s">
        <v>54</v>
      </c>
      <c r="H611" s="36" t="s">
        <v>20</v>
      </c>
      <c r="J611" s="79" t="str">
        <f>IFERROR(VLOOKUP(I611,'[1]ABC Master Lists'!$B$2:$I$346,4,FALSE)," ")</f>
        <v xml:space="preserve"> </v>
      </c>
      <c r="K611" s="79" t="str">
        <f>IFERROR(VLOOKUP(I611,'[1]ABC Master Lists'!$B$2:$I$346,8,FALSE)," ")</f>
        <v xml:space="preserve"> </v>
      </c>
      <c r="L611" s="118" t="str">
        <f>IFERROR(VLOOKUP(J611,'[1]ABC Master Lists'!$AQ$2:$AS$12,3,FALSE)," ")</f>
        <v xml:space="preserve"> </v>
      </c>
      <c r="M611" s="118" t="str">
        <f>IFERROR(VLOOKUP(K611,'[1]ABC Master Lists'!$AD$2:$AE$22,2,FALSE), " ")</f>
        <v xml:space="preserve"> </v>
      </c>
    </row>
    <row r="612" spans="1:13" x14ac:dyDescent="0.25">
      <c r="D612" s="28">
        <v>17</v>
      </c>
      <c r="E612" s="31" t="s">
        <v>26</v>
      </c>
      <c r="F612" s="20">
        <v>16</v>
      </c>
      <c r="G612" s="34" t="s">
        <v>7</v>
      </c>
      <c r="H612" s="38" t="s">
        <v>5</v>
      </c>
      <c r="I612" s="38">
        <v>140</v>
      </c>
      <c r="J612" s="83">
        <f>IFERROR(VLOOKUP(I612,'[1]ABC Master Lists'!$B$2:$I$346,4,FALSE)," ")</f>
        <v>11</v>
      </c>
      <c r="K612" s="83">
        <f>IFERROR(VLOOKUP(I612,'[1]ABC Master Lists'!$B$2:$I$346,8,FALSE)," ")</f>
        <v>6</v>
      </c>
      <c r="L612" s="122" t="str">
        <f>IFERROR(VLOOKUP(J612,'[1]ABC Master Lists'!$AQ$2:$AS$12,3,FALSE)," ")</f>
        <v>+</v>
      </c>
      <c r="M612" s="122" t="str">
        <f>IFERROR(VLOOKUP(K612,'[1]ABC Master Lists'!$AD$2:$AE$22,2,FALSE), " ")</f>
        <v>+</v>
      </c>
    </row>
    <row r="613" spans="1:13" x14ac:dyDescent="0.25">
      <c r="D613" s="29"/>
      <c r="E613" s="25" t="s">
        <v>33</v>
      </c>
      <c r="F613" s="23">
        <v>0.25</v>
      </c>
      <c r="G613" s="35" t="s">
        <v>54</v>
      </c>
      <c r="H613" s="39" t="s">
        <v>5</v>
      </c>
      <c r="I613" s="39"/>
      <c r="J613" s="82" t="str">
        <f>IFERROR(VLOOKUP(I613,'[1]ABC Master Lists'!$B$2:$I$346,4,FALSE)," ")</f>
        <v xml:space="preserve"> </v>
      </c>
      <c r="K613" s="82" t="str">
        <f>IFERROR(VLOOKUP(I613,'[1]ABC Master Lists'!$B$2:$I$346,8,FALSE)," ")</f>
        <v xml:space="preserve"> </v>
      </c>
      <c r="L613" s="121" t="str">
        <f>IFERROR(VLOOKUP(J613,'[1]ABC Master Lists'!$AQ$2:$AS$12,3,FALSE)," ")</f>
        <v xml:space="preserve"> </v>
      </c>
      <c r="M613" s="121" t="str">
        <f>IFERROR(VLOOKUP(K613,'[1]ABC Master Lists'!$AD$2:$AE$22,2,FALSE), " ")</f>
        <v xml:space="preserve"> </v>
      </c>
    </row>
    <row r="614" spans="1:13" ht="15.75" customHeight="1" x14ac:dyDescent="0.25">
      <c r="D614" s="26">
        <v>18</v>
      </c>
      <c r="E614" s="24" t="s">
        <v>26</v>
      </c>
      <c r="F614" s="4">
        <v>8</v>
      </c>
      <c r="G614" s="32" t="s">
        <v>7</v>
      </c>
      <c r="H614" s="36" t="s">
        <v>5</v>
      </c>
      <c r="I614" s="36">
        <v>147</v>
      </c>
      <c r="J614" s="79">
        <f>IFERROR(VLOOKUP(I614,'[1]ABC Master Lists'!$B$2:$I$346,4,FALSE)," ")</f>
        <v>111221</v>
      </c>
      <c r="K614" s="79">
        <f>IFERROR(VLOOKUP(I614,'[1]ABC Master Lists'!$B$2:$I$346,8,FALSE)," ")</f>
        <v>68</v>
      </c>
      <c r="L614" s="118" t="str">
        <f>IFERROR(VLOOKUP(J614,'[1]ABC Master Lists'!$AQ$2:$AS$12,3,FALSE)," ")</f>
        <v xml:space="preserve"> </v>
      </c>
      <c r="M614" s="118" t="str">
        <f>IFERROR(VLOOKUP(K614,'[1]ABC Master Lists'!$AD$2:$AE$22,2,FALSE), " ")</f>
        <v>+</v>
      </c>
    </row>
    <row r="615" spans="1:13" ht="15.75" customHeight="1" x14ac:dyDescent="0.25">
      <c r="E615" s="24" t="s">
        <v>33</v>
      </c>
      <c r="F615" s="4">
        <v>0.25</v>
      </c>
      <c r="G615" s="32" t="s">
        <v>54</v>
      </c>
      <c r="H615" s="36" t="s">
        <v>5</v>
      </c>
      <c r="J615" s="79" t="str">
        <f>IFERROR(VLOOKUP(I615,'[1]ABC Master Lists'!$B$2:$I$346,4,FALSE)," ")</f>
        <v xml:space="preserve"> </v>
      </c>
      <c r="K615" s="79" t="str">
        <f>IFERROR(VLOOKUP(I615,'[1]ABC Master Lists'!$B$2:$I$346,8,FALSE)," ")</f>
        <v xml:space="preserve"> </v>
      </c>
      <c r="L615" s="118" t="str">
        <f>IFERROR(VLOOKUP(J615,'[1]ABC Master Lists'!$AQ$2:$AS$12,3,FALSE)," ")</f>
        <v xml:space="preserve"> </v>
      </c>
      <c r="M615" s="118" t="str">
        <f>IFERROR(VLOOKUP(K615,'[1]ABC Master Lists'!$AD$2:$AE$22,2,FALSE), " ")</f>
        <v xml:space="preserve"> </v>
      </c>
    </row>
    <row r="616" spans="1:13" x14ac:dyDescent="0.25">
      <c r="D616" s="26" t="s">
        <v>85</v>
      </c>
      <c r="E616" s="24" t="s">
        <v>75</v>
      </c>
      <c r="F616" s="4">
        <v>14.5</v>
      </c>
      <c r="G616" s="32" t="s">
        <v>7</v>
      </c>
      <c r="H616" s="36" t="s">
        <v>20</v>
      </c>
      <c r="J616" s="79" t="str">
        <f>IFERROR(VLOOKUP(I616,'[1]ABC Master Lists'!$B$2:$I$346,4,FALSE)," ")</f>
        <v xml:space="preserve"> </v>
      </c>
      <c r="K616" s="79" t="str">
        <f>IFERROR(VLOOKUP(I616,'[1]ABC Master Lists'!$B$2:$I$346,8,FALSE)," ")</f>
        <v xml:space="preserve"> </v>
      </c>
      <c r="L616" s="118" t="str">
        <f>IFERROR(VLOOKUP(J616,'[1]ABC Master Lists'!$AQ$2:$AS$12,3,FALSE)," ")</f>
        <v xml:space="preserve"> </v>
      </c>
      <c r="M616" s="118" t="str">
        <f>IFERROR(VLOOKUP(K616,'[1]ABC Master Lists'!$AD$2:$AE$22,2,FALSE), " ")</f>
        <v xml:space="preserve"> </v>
      </c>
    </row>
    <row r="617" spans="1:13" x14ac:dyDescent="0.25">
      <c r="D617" s="28">
        <v>19</v>
      </c>
      <c r="E617" s="31" t="s">
        <v>10</v>
      </c>
      <c r="F617" s="20">
        <v>8</v>
      </c>
      <c r="G617" s="34" t="s">
        <v>11</v>
      </c>
      <c r="H617" s="38" t="s">
        <v>5</v>
      </c>
      <c r="I617" s="38">
        <v>90</v>
      </c>
      <c r="J617" s="83">
        <f>IFERROR(VLOOKUP(I617,'[1]ABC Master Lists'!$B$2:$I$346,4,FALSE)," ")</f>
        <v>4</v>
      </c>
      <c r="K617" s="83">
        <f>IFERROR(VLOOKUP(I617,'[1]ABC Master Lists'!$B$2:$I$346,8,FALSE)," ")</f>
        <v>6</v>
      </c>
      <c r="L617" s="122" t="str">
        <f>IFERROR(VLOOKUP(J617,'[1]ABC Master Lists'!$AQ$2:$AS$12,3,FALSE)," ")</f>
        <v>+</v>
      </c>
      <c r="M617" s="122" t="str">
        <f>IFERROR(VLOOKUP(K617,'[1]ABC Master Lists'!$AD$2:$AE$22,2,FALSE), " ")</f>
        <v>+</v>
      </c>
    </row>
    <row r="618" spans="1:13" x14ac:dyDescent="0.25">
      <c r="D618" s="29"/>
      <c r="E618" s="25" t="s">
        <v>33</v>
      </c>
      <c r="F618" s="23">
        <v>0.25</v>
      </c>
      <c r="G618" s="35" t="s">
        <v>54</v>
      </c>
      <c r="H618" s="39" t="s">
        <v>5</v>
      </c>
      <c r="I618" s="39"/>
      <c r="J618" s="82" t="str">
        <f>IFERROR(VLOOKUP(I618,'[1]ABC Master Lists'!$B$2:$I$346,4,FALSE)," ")</f>
        <v xml:space="preserve"> </v>
      </c>
      <c r="K618" s="82" t="str">
        <f>IFERROR(VLOOKUP(I618,'[1]ABC Master Lists'!$B$2:$I$346,8,FALSE)," ")</f>
        <v xml:space="preserve"> </v>
      </c>
      <c r="L618" s="121" t="str">
        <f>IFERROR(VLOOKUP(J618,'[1]ABC Master Lists'!$AQ$2:$AS$12,3,FALSE)," ")</f>
        <v xml:space="preserve"> </v>
      </c>
      <c r="M618" s="121" t="str">
        <f>IFERROR(VLOOKUP(K618,'[1]ABC Master Lists'!$AD$2:$AE$22,2,FALSE), " ")</f>
        <v xml:space="preserve"> </v>
      </c>
    </row>
    <row r="619" spans="1:13" x14ac:dyDescent="0.25">
      <c r="D619" s="26">
        <v>20</v>
      </c>
      <c r="E619" s="24" t="s">
        <v>6</v>
      </c>
      <c r="F619" s="4">
        <v>9</v>
      </c>
      <c r="G619" s="32" t="s">
        <v>7</v>
      </c>
      <c r="H619" s="36" t="s">
        <v>5</v>
      </c>
      <c r="I619" s="36">
        <v>23</v>
      </c>
      <c r="J619" s="79">
        <f>IFERROR(VLOOKUP(I619,'[1]ABC Master Lists'!$B$2:$I$346,4,FALSE)," ")</f>
        <v>20</v>
      </c>
      <c r="K619" s="79">
        <f>IFERROR(VLOOKUP(I619,'[1]ABC Master Lists'!$B$2:$I$346,8,FALSE)," ")</f>
        <v>68</v>
      </c>
      <c r="L619" s="118" t="str">
        <f>IFERROR(VLOOKUP(J619,'[1]ABC Master Lists'!$AQ$2:$AS$12,3,FALSE)," ")</f>
        <v>+</v>
      </c>
      <c r="M619" s="118" t="str">
        <f>IFERROR(VLOOKUP(K619,'[1]ABC Master Lists'!$AD$2:$AE$22,2,FALSE), " ")</f>
        <v>+</v>
      </c>
    </row>
    <row r="620" spans="1:13" x14ac:dyDescent="0.25">
      <c r="E620" s="24" t="s">
        <v>33</v>
      </c>
      <c r="F620" s="4">
        <v>0.25</v>
      </c>
      <c r="G620" s="32" t="s">
        <v>54</v>
      </c>
      <c r="H620" s="36" t="s">
        <v>5</v>
      </c>
      <c r="J620" s="79" t="str">
        <f>IFERROR(VLOOKUP(I620,'[1]ABC Master Lists'!$B$2:$I$346,4,FALSE)," ")</f>
        <v xml:space="preserve"> </v>
      </c>
      <c r="K620" s="79" t="str">
        <f>IFERROR(VLOOKUP(I620,'[1]ABC Master Lists'!$B$2:$I$346,8,FALSE)," ")</f>
        <v xml:space="preserve"> </v>
      </c>
      <c r="L620" s="118" t="str">
        <f>IFERROR(VLOOKUP(J620,'[1]ABC Master Lists'!$AQ$2:$AS$12,3,FALSE)," ")</f>
        <v xml:space="preserve"> </v>
      </c>
      <c r="M620" s="118" t="str">
        <f>IFERROR(VLOOKUP(K620,'[1]ABC Master Lists'!$AD$2:$AE$22,2,FALSE), " ")</f>
        <v xml:space="preserve"> </v>
      </c>
    </row>
    <row r="621" spans="1:13" x14ac:dyDescent="0.25">
      <c r="E621" s="24" t="s">
        <v>6</v>
      </c>
      <c r="F621" s="4">
        <v>9</v>
      </c>
      <c r="G621" s="32" t="s">
        <v>7</v>
      </c>
      <c r="H621" s="36" t="s">
        <v>20</v>
      </c>
      <c r="J621" s="79" t="str">
        <f>IFERROR(VLOOKUP(I621,'[1]ABC Master Lists'!$B$2:$I$346,4,FALSE)," ")</f>
        <v xml:space="preserve"> </v>
      </c>
      <c r="K621" s="79" t="str">
        <f>IFERROR(VLOOKUP(I621,'[1]ABC Master Lists'!$B$2:$I$346,8,FALSE)," ")</f>
        <v xml:space="preserve"> </v>
      </c>
      <c r="L621" s="118" t="str">
        <f>IFERROR(VLOOKUP(J621,'[1]ABC Master Lists'!$AQ$2:$AS$12,3,FALSE)," ")</f>
        <v xml:space="preserve"> </v>
      </c>
      <c r="M621" s="118" t="str">
        <f>IFERROR(VLOOKUP(K621,'[1]ABC Master Lists'!$AD$2:$AE$22,2,FALSE), " ")</f>
        <v xml:space="preserve"> </v>
      </c>
    </row>
    <row r="622" spans="1:13" x14ac:dyDescent="0.25">
      <c r="A622" s="25"/>
      <c r="B622" s="25"/>
      <c r="C622" s="25"/>
      <c r="E622" s="24" t="s">
        <v>33</v>
      </c>
      <c r="F622" s="4">
        <v>0.25</v>
      </c>
      <c r="G622" s="32" t="s">
        <v>54</v>
      </c>
      <c r="H622" s="36" t="s">
        <v>20</v>
      </c>
      <c r="J622" s="79" t="str">
        <f>IFERROR(VLOOKUP(I622,'[1]ABC Master Lists'!$B$2:$I$346,4,FALSE)," ")</f>
        <v xml:space="preserve"> </v>
      </c>
      <c r="K622" s="79" t="str">
        <f>IFERROR(VLOOKUP(I622,'[1]ABC Master Lists'!$B$2:$I$346,8,FALSE)," ")</f>
        <v xml:space="preserve"> </v>
      </c>
      <c r="L622" s="118" t="str">
        <f>IFERROR(VLOOKUP(J622,'[1]ABC Master Lists'!$AQ$2:$AS$12,3,FALSE)," ")</f>
        <v xml:space="preserve"> </v>
      </c>
      <c r="M622" s="118" t="str">
        <f>IFERROR(VLOOKUP(K622,'[1]ABC Master Lists'!$AD$2:$AE$22,2,FALSE), " ")</f>
        <v xml:space="preserve"> </v>
      </c>
    </row>
    <row r="623" spans="1:13" x14ac:dyDescent="0.25">
      <c r="A623" s="24">
        <v>2013</v>
      </c>
      <c r="B623" s="24" t="s">
        <v>168</v>
      </c>
      <c r="C623" s="24" t="s">
        <v>169</v>
      </c>
      <c r="D623" s="181">
        <v>1</v>
      </c>
      <c r="E623" s="182" t="s">
        <v>101</v>
      </c>
      <c r="F623" s="183" t="s">
        <v>2</v>
      </c>
      <c r="G623" s="184" t="s">
        <v>2</v>
      </c>
      <c r="H623" s="185" t="s">
        <v>2</v>
      </c>
      <c r="I623" s="37">
        <v>1</v>
      </c>
      <c r="J623" s="81" t="str">
        <f>IFERROR(VLOOKUP(I623,'[1]ABC Master Lists'!$B$2:$I$346,4,FALSE)," ")</f>
        <v>.</v>
      </c>
      <c r="K623" s="81" t="str">
        <f>IFERROR(VLOOKUP(I623,'[1]ABC Master Lists'!$B$2:$I$346,8,FALSE)," ")</f>
        <v>.</v>
      </c>
      <c r="L623" s="120" t="str">
        <f>IFERROR(VLOOKUP(J623,'[1]ABC Master Lists'!$AQ$2:$AS$12,3,FALSE)," ")</f>
        <v>+</v>
      </c>
      <c r="M623" s="120" t="str">
        <f>IFERROR(VLOOKUP(K623,'[1]ABC Master Lists'!$AD$2:$AE$22,2,FALSE), " ")</f>
        <v>+</v>
      </c>
    </row>
    <row r="624" spans="1:13" x14ac:dyDescent="0.25">
      <c r="D624" s="72">
        <v>2</v>
      </c>
      <c r="E624" s="73" t="s">
        <v>10</v>
      </c>
      <c r="F624" s="178">
        <v>6</v>
      </c>
      <c r="G624" s="74" t="s">
        <v>102</v>
      </c>
      <c r="H624" s="75" t="s">
        <v>5</v>
      </c>
      <c r="I624" s="36">
        <v>87</v>
      </c>
      <c r="J624" s="79">
        <f>IFERROR(VLOOKUP(I624,'[1]ABC Master Lists'!$B$2:$I$346,4,FALSE)," ")</f>
        <v>4</v>
      </c>
      <c r="K624" s="79">
        <f>IFERROR(VLOOKUP(I624,'[1]ABC Master Lists'!$B$2:$I$346,8,FALSE)," ")</f>
        <v>6</v>
      </c>
      <c r="L624" s="118" t="str">
        <f>IFERROR(VLOOKUP(J624,'[1]ABC Master Lists'!$AQ$2:$AS$12,3,FALSE)," ")</f>
        <v>+</v>
      </c>
      <c r="M624" s="118" t="str">
        <f>IFERROR(VLOOKUP(K624,'[1]ABC Master Lists'!$AD$2:$AE$22,2,FALSE), " ")</f>
        <v>+</v>
      </c>
    </row>
    <row r="625" spans="4:13" x14ac:dyDescent="0.25">
      <c r="D625" s="72"/>
      <c r="E625" s="73" t="s">
        <v>103</v>
      </c>
      <c r="F625" s="178">
        <v>0.25</v>
      </c>
      <c r="G625" s="74" t="s">
        <v>54</v>
      </c>
      <c r="H625" s="75" t="s">
        <v>5</v>
      </c>
      <c r="J625" s="79" t="str">
        <f>IFERROR(VLOOKUP(I625,'[1]ABC Master Lists'!$B$2:$I$346,4,FALSE)," ")</f>
        <v xml:space="preserve"> </v>
      </c>
      <c r="K625" s="79" t="str">
        <f>IFERROR(VLOOKUP(I625,'[1]ABC Master Lists'!$B$2:$I$346,8,FALSE)," ")</f>
        <v xml:space="preserve"> </v>
      </c>
      <c r="L625" s="118" t="str">
        <f>IFERROR(VLOOKUP(J625,'[1]ABC Master Lists'!$AQ$2:$AS$12,3,FALSE)," ")</f>
        <v xml:space="preserve"> </v>
      </c>
      <c r="M625" s="118" t="str">
        <f>IFERROR(VLOOKUP(K625,'[1]ABC Master Lists'!$AD$2:$AE$22,2,FALSE), " ")</f>
        <v xml:space="preserve"> </v>
      </c>
    </row>
    <row r="626" spans="4:13" x14ac:dyDescent="0.25">
      <c r="D626" s="186">
        <v>3</v>
      </c>
      <c r="E626" s="187" t="s">
        <v>10</v>
      </c>
      <c r="F626" s="188">
        <v>8</v>
      </c>
      <c r="G626" s="189" t="s">
        <v>102</v>
      </c>
      <c r="H626" s="190" t="s">
        <v>5</v>
      </c>
      <c r="I626" s="38">
        <v>90</v>
      </c>
      <c r="J626" s="83">
        <f>IFERROR(VLOOKUP(I626,'[1]ABC Master Lists'!$B$2:$I$346,4,FALSE)," ")</f>
        <v>4</v>
      </c>
      <c r="K626" s="83">
        <f>IFERROR(VLOOKUP(I626,'[1]ABC Master Lists'!$B$2:$I$346,8,FALSE)," ")</f>
        <v>6</v>
      </c>
      <c r="L626" s="122" t="str">
        <f>IFERROR(VLOOKUP(J626,'[1]ABC Master Lists'!$AQ$2:$AS$12,3,FALSE)," ")</f>
        <v>+</v>
      </c>
      <c r="M626" s="122" t="str">
        <f>IFERROR(VLOOKUP(K626,'[1]ABC Master Lists'!$AD$2:$AE$22,2,FALSE), " ")</f>
        <v>+</v>
      </c>
    </row>
    <row r="627" spans="4:13" x14ac:dyDescent="0.25">
      <c r="D627" s="191"/>
      <c r="E627" s="192" t="s">
        <v>103</v>
      </c>
      <c r="F627" s="193">
        <v>0.25</v>
      </c>
      <c r="G627" s="194" t="s">
        <v>54</v>
      </c>
      <c r="H627" s="195" t="s">
        <v>5</v>
      </c>
      <c r="I627" s="39"/>
      <c r="J627" s="82" t="str">
        <f>IFERROR(VLOOKUP(I627,'[1]ABC Master Lists'!$B$2:$I$346,4,FALSE)," ")</f>
        <v xml:space="preserve"> </v>
      </c>
      <c r="K627" s="82" t="str">
        <f>IFERROR(VLOOKUP(I627,'[1]ABC Master Lists'!$B$2:$I$346,8,FALSE)," ")</f>
        <v xml:space="preserve"> </v>
      </c>
      <c r="L627" s="121" t="str">
        <f>IFERROR(VLOOKUP(J627,'[1]ABC Master Lists'!$AQ$2:$AS$12,3,FALSE)," ")</f>
        <v xml:space="preserve"> </v>
      </c>
      <c r="M627" s="121" t="str">
        <f>IFERROR(VLOOKUP(K627,'[1]ABC Master Lists'!$AD$2:$AE$22,2,FALSE), " ")</f>
        <v xml:space="preserve"> </v>
      </c>
    </row>
    <row r="628" spans="4:13" x14ac:dyDescent="0.25">
      <c r="D628" s="72">
        <v>4</v>
      </c>
      <c r="E628" s="73" t="s">
        <v>44</v>
      </c>
      <c r="F628" s="178">
        <v>4</v>
      </c>
      <c r="G628" s="74" t="s">
        <v>104</v>
      </c>
      <c r="H628" s="75" t="s">
        <v>5</v>
      </c>
      <c r="I628" s="36">
        <v>151</v>
      </c>
      <c r="J628" s="79">
        <f>IFERROR(VLOOKUP(I628,'[1]ABC Master Lists'!$B$2:$I$346,4,FALSE)," ")</f>
        <v>1624</v>
      </c>
      <c r="K628" s="79">
        <f>IFERROR(VLOOKUP(I628,'[1]ABC Master Lists'!$B$2:$I$346,8,FALSE)," ")</f>
        <v>6</v>
      </c>
      <c r="L628" s="118" t="str">
        <f>IFERROR(VLOOKUP(J628,'[1]ABC Master Lists'!$AQ$2:$AS$12,3,FALSE)," ")</f>
        <v xml:space="preserve"> </v>
      </c>
      <c r="M628" s="118" t="str">
        <f>IFERROR(VLOOKUP(K628,'[1]ABC Master Lists'!$AD$2:$AE$22,2,FALSE), " ")</f>
        <v>+</v>
      </c>
    </row>
    <row r="629" spans="4:13" x14ac:dyDescent="0.25">
      <c r="D629" s="72"/>
      <c r="E629" s="73" t="s">
        <v>103</v>
      </c>
      <c r="F629" s="178">
        <v>0.25</v>
      </c>
      <c r="G629" s="74" t="s">
        <v>54</v>
      </c>
      <c r="H629" s="75" t="s">
        <v>5</v>
      </c>
      <c r="J629" s="79" t="str">
        <f>IFERROR(VLOOKUP(I629,'[1]ABC Master Lists'!$B$2:$I$346,4,FALSE)," ")</f>
        <v xml:space="preserve"> </v>
      </c>
      <c r="K629" s="79" t="str">
        <f>IFERROR(VLOOKUP(I629,'[1]ABC Master Lists'!$B$2:$I$346,8,FALSE)," ")</f>
        <v xml:space="preserve"> </v>
      </c>
      <c r="L629" s="118" t="str">
        <f>IFERROR(VLOOKUP(J629,'[1]ABC Master Lists'!$AQ$2:$AS$12,3,FALSE)," ")</f>
        <v xml:space="preserve"> </v>
      </c>
      <c r="M629" s="118" t="str">
        <f>IFERROR(VLOOKUP(K629,'[1]ABC Master Lists'!$AD$2:$AE$22,2,FALSE), " ")</f>
        <v xml:space="preserve"> </v>
      </c>
    </row>
    <row r="630" spans="4:13" x14ac:dyDescent="0.25">
      <c r="D630" s="181">
        <v>5</v>
      </c>
      <c r="E630" s="182" t="s">
        <v>77</v>
      </c>
      <c r="F630" s="183">
        <v>5</v>
      </c>
      <c r="G630" s="184" t="s">
        <v>104</v>
      </c>
      <c r="H630" s="185" t="s">
        <v>5</v>
      </c>
      <c r="I630" s="37">
        <v>158</v>
      </c>
      <c r="J630" s="81">
        <f>IFERROR(VLOOKUP(I630,'[1]ABC Master Lists'!$B$2:$I$346,4,FALSE)," ")</f>
        <v>22</v>
      </c>
      <c r="K630" s="81">
        <f>IFERROR(VLOOKUP(I630,'[1]ABC Master Lists'!$B$2:$I$346,8,FALSE)," ")</f>
        <v>3</v>
      </c>
      <c r="L630" s="120" t="str">
        <f>IFERROR(VLOOKUP(J630,'[1]ABC Master Lists'!$AQ$2:$AS$12,3,FALSE)," ")</f>
        <v>+</v>
      </c>
      <c r="M630" s="120"/>
    </row>
    <row r="631" spans="4:13" x14ac:dyDescent="0.25">
      <c r="D631" s="72">
        <v>6</v>
      </c>
      <c r="E631" s="73" t="s">
        <v>77</v>
      </c>
      <c r="F631" s="178">
        <v>3</v>
      </c>
      <c r="G631" s="74" t="s">
        <v>104</v>
      </c>
      <c r="H631" s="75" t="s">
        <v>5</v>
      </c>
      <c r="I631" s="36">
        <v>156</v>
      </c>
      <c r="J631" s="79">
        <f>IFERROR(VLOOKUP(I631,'[1]ABC Master Lists'!$B$2:$I$346,4,FALSE)," ")</f>
        <v>22</v>
      </c>
      <c r="K631" s="79">
        <f>IFERROR(VLOOKUP(I631,'[1]ABC Master Lists'!$B$2:$I$346,8,FALSE)," ")</f>
        <v>6</v>
      </c>
      <c r="L631" s="118" t="str">
        <f>IFERROR(VLOOKUP(J631,'[1]ABC Master Lists'!$AQ$2:$AS$12,3,FALSE)," ")</f>
        <v>+</v>
      </c>
      <c r="M631" s="118" t="str">
        <f>IFERROR(VLOOKUP(K631,'[1]ABC Master Lists'!$AD$2:$AE$22,2,FALSE), " ")</f>
        <v>+</v>
      </c>
    </row>
    <row r="632" spans="4:13" x14ac:dyDescent="0.25">
      <c r="D632" s="72"/>
      <c r="E632" s="73" t="s">
        <v>103</v>
      </c>
      <c r="F632" s="178">
        <v>0.25</v>
      </c>
      <c r="G632" s="74" t="s">
        <v>54</v>
      </c>
      <c r="H632" s="75" t="s">
        <v>5</v>
      </c>
      <c r="J632" s="79" t="str">
        <f>IFERROR(VLOOKUP(I632,'[1]ABC Master Lists'!$B$2:$I$346,4,FALSE)," ")</f>
        <v xml:space="preserve"> </v>
      </c>
      <c r="K632" s="79" t="str">
        <f>IFERROR(VLOOKUP(I632,'[1]ABC Master Lists'!$B$2:$I$346,8,FALSE)," ")</f>
        <v xml:space="preserve"> </v>
      </c>
      <c r="L632" s="118" t="str">
        <f>IFERROR(VLOOKUP(J632,'[1]ABC Master Lists'!$AQ$2:$AS$12,3,FALSE)," ")</f>
        <v xml:space="preserve"> </v>
      </c>
      <c r="M632" s="118" t="str">
        <f>IFERROR(VLOOKUP(K632,'[1]ABC Master Lists'!$AD$2:$AE$22,2,FALSE), " ")</f>
        <v xml:space="preserve"> </v>
      </c>
    </row>
    <row r="633" spans="4:13" x14ac:dyDescent="0.25">
      <c r="D633" s="186">
        <v>7</v>
      </c>
      <c r="E633" s="187" t="s">
        <v>15</v>
      </c>
      <c r="F633" s="188">
        <v>5</v>
      </c>
      <c r="G633" s="189" t="s">
        <v>104</v>
      </c>
      <c r="H633" s="190" t="s">
        <v>5</v>
      </c>
      <c r="I633" s="38">
        <v>74</v>
      </c>
      <c r="J633" s="83">
        <f>IFERROR(VLOOKUP(I633,'[1]ABC Master Lists'!$B$2:$I$346,4,FALSE)," ")</f>
        <v>26</v>
      </c>
      <c r="K633" s="83">
        <f>IFERROR(VLOOKUP(I633,'[1]ABC Master Lists'!$B$2:$I$346,8,FALSE)," ")</f>
        <v>6</v>
      </c>
      <c r="L633" s="122" t="str">
        <f>IFERROR(VLOOKUP(J633,'[1]ABC Master Lists'!$AQ$2:$AS$12,3,FALSE)," ")</f>
        <v>+</v>
      </c>
      <c r="M633" s="122" t="str">
        <f>IFERROR(VLOOKUP(K633,'[1]ABC Master Lists'!$AD$2:$AE$22,2,FALSE), " ")</f>
        <v>+</v>
      </c>
    </row>
    <row r="634" spans="4:13" x14ac:dyDescent="0.25">
      <c r="D634" s="191"/>
      <c r="E634" s="192" t="s">
        <v>103</v>
      </c>
      <c r="F634" s="193">
        <v>0.25</v>
      </c>
      <c r="G634" s="194" t="s">
        <v>54</v>
      </c>
      <c r="H634" s="195" t="s">
        <v>5</v>
      </c>
      <c r="I634" s="39"/>
      <c r="J634" s="82" t="str">
        <f>IFERROR(VLOOKUP(I634,'[1]ABC Master Lists'!$B$2:$I$346,4,FALSE)," ")</f>
        <v xml:space="preserve"> </v>
      </c>
      <c r="K634" s="82" t="str">
        <f>IFERROR(VLOOKUP(I634,'[1]ABC Master Lists'!$B$2:$I$346,8,FALSE)," ")</f>
        <v xml:space="preserve"> </v>
      </c>
      <c r="L634" s="121" t="str">
        <f>IFERROR(VLOOKUP(J634,'[1]ABC Master Lists'!$AQ$2:$AS$12,3,FALSE)," ")</f>
        <v xml:space="preserve"> </v>
      </c>
      <c r="M634" s="121" t="str">
        <f>IFERROR(VLOOKUP(K634,'[1]ABC Master Lists'!$AD$2:$AE$22,2,FALSE), " ")</f>
        <v xml:space="preserve"> </v>
      </c>
    </row>
    <row r="635" spans="4:13" x14ac:dyDescent="0.25">
      <c r="D635" s="72">
        <v>8</v>
      </c>
      <c r="E635" s="73" t="s">
        <v>105</v>
      </c>
      <c r="F635" s="178">
        <v>20</v>
      </c>
      <c r="G635" s="74" t="s">
        <v>104</v>
      </c>
      <c r="H635" s="75" t="s">
        <v>5</v>
      </c>
      <c r="I635" s="36">
        <v>123</v>
      </c>
      <c r="J635" s="79">
        <f>IFERROR(VLOOKUP(I635,'[1]ABC Master Lists'!$B$2:$I$346,4,FALSE)," ")</f>
        <v>28</v>
      </c>
      <c r="K635" s="79">
        <f>IFERROR(VLOOKUP(I635,'[1]ABC Master Lists'!$B$2:$I$346,8,FALSE)," ")</f>
        <v>6</v>
      </c>
      <c r="L635" s="118" t="str">
        <f>IFERROR(VLOOKUP(J635,'[1]ABC Master Lists'!$AQ$2:$AS$12,3,FALSE)," ")</f>
        <v>+</v>
      </c>
      <c r="M635" s="118" t="str">
        <f>IFERROR(VLOOKUP(K635,'[1]ABC Master Lists'!$AD$2:$AE$22,2,FALSE), " ")</f>
        <v>+</v>
      </c>
    </row>
    <row r="636" spans="4:13" x14ac:dyDescent="0.25">
      <c r="D636" s="72"/>
      <c r="E636" s="73" t="s">
        <v>103</v>
      </c>
      <c r="F636" s="178">
        <v>0.25</v>
      </c>
      <c r="G636" s="74" t="s">
        <v>54</v>
      </c>
      <c r="H636" s="75" t="s">
        <v>5</v>
      </c>
      <c r="J636" s="79" t="str">
        <f>IFERROR(VLOOKUP(I636,'[1]ABC Master Lists'!$B$2:$I$346,4,FALSE)," ")</f>
        <v xml:space="preserve"> </v>
      </c>
      <c r="K636" s="79" t="str">
        <f>IFERROR(VLOOKUP(I636,'[1]ABC Master Lists'!$B$2:$I$346,8,FALSE)," ")</f>
        <v xml:space="preserve"> </v>
      </c>
      <c r="L636" s="118" t="str">
        <f>IFERROR(VLOOKUP(J636,'[1]ABC Master Lists'!$AQ$2:$AS$12,3,FALSE)," ")</f>
        <v xml:space="preserve"> </v>
      </c>
      <c r="M636" s="118" t="str">
        <f>IFERROR(VLOOKUP(K636,'[1]ABC Master Lists'!$AD$2:$AE$22,2,FALSE), " ")</f>
        <v xml:space="preserve"> </v>
      </c>
    </row>
    <row r="637" spans="4:13" x14ac:dyDescent="0.25">
      <c r="D637" s="186">
        <v>9</v>
      </c>
      <c r="E637" s="187" t="s">
        <v>6</v>
      </c>
      <c r="F637" s="188">
        <v>9</v>
      </c>
      <c r="G637" s="189" t="s">
        <v>104</v>
      </c>
      <c r="H637" s="190" t="s">
        <v>5</v>
      </c>
      <c r="I637" s="38">
        <v>17</v>
      </c>
      <c r="J637" s="83">
        <f>IFERROR(VLOOKUP(I637,'[1]ABC Master Lists'!$B$2:$I$346,4,FALSE)," ")</f>
        <v>20</v>
      </c>
      <c r="K637" s="83">
        <f>IFERROR(VLOOKUP(I637,'[1]ABC Master Lists'!$B$2:$I$346,8,FALSE)," ")</f>
        <v>6</v>
      </c>
      <c r="L637" s="122" t="str">
        <f>IFERROR(VLOOKUP(J637,'[1]ABC Master Lists'!$AQ$2:$AS$12,3,FALSE)," ")</f>
        <v>+</v>
      </c>
      <c r="M637" s="122" t="str">
        <f>IFERROR(VLOOKUP(K637,'[1]ABC Master Lists'!$AD$2:$AE$22,2,FALSE), " ")</f>
        <v>+</v>
      </c>
    </row>
    <row r="638" spans="4:13" x14ac:dyDescent="0.25">
      <c r="D638" s="191"/>
      <c r="E638" s="192" t="s">
        <v>103</v>
      </c>
      <c r="F638" s="193">
        <v>0.25</v>
      </c>
      <c r="G638" s="194" t="s">
        <v>54</v>
      </c>
      <c r="H638" s="195" t="s">
        <v>5</v>
      </c>
      <c r="I638" s="39"/>
      <c r="J638" s="82" t="str">
        <f>IFERROR(VLOOKUP(I638,'[1]ABC Master Lists'!$B$2:$I$346,4,FALSE)," ")</f>
        <v xml:space="preserve"> </v>
      </c>
      <c r="K638" s="82" t="str">
        <f>IFERROR(VLOOKUP(I638,'[1]ABC Master Lists'!$B$2:$I$346,8,FALSE)," ")</f>
        <v xml:space="preserve"> </v>
      </c>
      <c r="L638" s="121" t="str">
        <f>IFERROR(VLOOKUP(J638,'[1]ABC Master Lists'!$AQ$2:$AS$12,3,FALSE)," ")</f>
        <v xml:space="preserve"> </v>
      </c>
      <c r="M638" s="121" t="str">
        <f>IFERROR(VLOOKUP(K638,'[1]ABC Master Lists'!$AD$2:$AE$22,2,FALSE), " ")</f>
        <v xml:space="preserve"> </v>
      </c>
    </row>
    <row r="639" spans="4:13" x14ac:dyDescent="0.25">
      <c r="D639" s="72">
        <v>10</v>
      </c>
      <c r="E639" s="73" t="s">
        <v>18</v>
      </c>
      <c r="F639" s="178">
        <v>6</v>
      </c>
      <c r="G639" s="74" t="s">
        <v>104</v>
      </c>
      <c r="H639" s="75" t="s">
        <v>5</v>
      </c>
      <c r="I639" s="36">
        <v>52</v>
      </c>
      <c r="J639" s="79">
        <f>IFERROR(VLOOKUP(I639,'[1]ABC Master Lists'!$B$2:$I$346,4,FALSE)," ")</f>
        <v>18</v>
      </c>
      <c r="K639" s="79">
        <f>IFERROR(VLOOKUP(I639,'[1]ABC Master Lists'!$B$2:$I$346,8,FALSE)," ")</f>
        <v>6</v>
      </c>
      <c r="L639" s="118" t="str">
        <f>IFERROR(VLOOKUP(J639,'[1]ABC Master Lists'!$AQ$2:$AS$12,3,FALSE)," ")</f>
        <v>+</v>
      </c>
      <c r="M639" s="118" t="str">
        <f>IFERROR(VLOOKUP(K639,'[1]ABC Master Lists'!$AD$2:$AE$22,2,FALSE), " ")</f>
        <v>+</v>
      </c>
    </row>
    <row r="640" spans="4:13" x14ac:dyDescent="0.25">
      <c r="D640" s="72"/>
      <c r="E640" s="73" t="s">
        <v>106</v>
      </c>
      <c r="F640" s="178">
        <v>0.83299999999999996</v>
      </c>
      <c r="G640" s="74" t="s">
        <v>54</v>
      </c>
      <c r="H640" s="75" t="s">
        <v>5</v>
      </c>
      <c r="J640" s="79" t="str">
        <f>IFERROR(VLOOKUP(I640,'[1]ABC Master Lists'!$B$2:$I$346,4,FALSE)," ")</f>
        <v xml:space="preserve"> </v>
      </c>
      <c r="K640" s="79" t="str">
        <f>IFERROR(VLOOKUP(I640,'[1]ABC Master Lists'!$B$2:$I$346,8,FALSE)," ")</f>
        <v xml:space="preserve"> </v>
      </c>
      <c r="L640" s="118" t="str">
        <f>IFERROR(VLOOKUP(J640,'[1]ABC Master Lists'!$AQ$2:$AS$12,3,FALSE)," ")</f>
        <v xml:space="preserve"> </v>
      </c>
      <c r="M640" s="118" t="str">
        <f>IFERROR(VLOOKUP(K640,'[1]ABC Master Lists'!$AD$2:$AE$22,2,FALSE), " ")</f>
        <v xml:space="preserve"> </v>
      </c>
    </row>
    <row r="641" spans="4:13" x14ac:dyDescent="0.25">
      <c r="D641" s="186">
        <v>11</v>
      </c>
      <c r="E641" s="187" t="s">
        <v>44</v>
      </c>
      <c r="F641" s="188">
        <v>4</v>
      </c>
      <c r="G641" s="189" t="s">
        <v>104</v>
      </c>
      <c r="H641" s="190" t="s">
        <v>20</v>
      </c>
      <c r="I641" s="38">
        <v>153</v>
      </c>
      <c r="J641" s="83">
        <f>IFERROR(VLOOKUP(I641,'[1]ABC Master Lists'!$B$2:$I$346,4,FALSE)," ")</f>
        <v>1624</v>
      </c>
      <c r="K641" s="83">
        <f>IFERROR(VLOOKUP(I641,'[1]ABC Master Lists'!$B$2:$I$346,8,FALSE)," ")</f>
        <v>8</v>
      </c>
      <c r="L641" s="122" t="str">
        <f>IFERROR(VLOOKUP(J641,'[1]ABC Master Lists'!$AQ$2:$AS$12,3,FALSE)," ")</f>
        <v xml:space="preserve"> </v>
      </c>
      <c r="M641" s="122" t="str">
        <f>IFERROR(VLOOKUP(K641,'[1]ABC Master Lists'!$AD$2:$AE$22,2,FALSE), " ")</f>
        <v>+</v>
      </c>
    </row>
    <row r="642" spans="4:13" x14ac:dyDescent="0.25">
      <c r="D642" s="191"/>
      <c r="E642" s="192" t="s">
        <v>103</v>
      </c>
      <c r="F642" s="193">
        <v>0.25</v>
      </c>
      <c r="G642" s="194" t="s">
        <v>54</v>
      </c>
      <c r="H642" s="195" t="s">
        <v>20</v>
      </c>
      <c r="I642" s="39"/>
      <c r="J642" s="82" t="str">
        <f>IFERROR(VLOOKUP(I642,'[1]ABC Master Lists'!$B$2:$I$346,4,FALSE)," ")</f>
        <v xml:space="preserve"> </v>
      </c>
      <c r="K642" s="82" t="str">
        <f>IFERROR(VLOOKUP(I642,'[1]ABC Master Lists'!$B$2:$I$346,8,FALSE)," ")</f>
        <v xml:space="preserve"> </v>
      </c>
      <c r="L642" s="121" t="str">
        <f>IFERROR(VLOOKUP(J642,'[1]ABC Master Lists'!$AQ$2:$AS$12,3,FALSE)," ")</f>
        <v xml:space="preserve"> </v>
      </c>
      <c r="M642" s="121" t="str">
        <f>IFERROR(VLOOKUP(K642,'[1]ABC Master Lists'!$AD$2:$AE$22,2,FALSE), " ")</f>
        <v xml:space="preserve"> </v>
      </c>
    </row>
    <row r="643" spans="4:13" x14ac:dyDescent="0.25">
      <c r="D643" s="72">
        <v>12</v>
      </c>
      <c r="E643" s="73" t="s">
        <v>6</v>
      </c>
      <c r="F643" s="178">
        <v>9</v>
      </c>
      <c r="G643" s="74" t="s">
        <v>104</v>
      </c>
      <c r="H643" s="75" t="s">
        <v>20</v>
      </c>
      <c r="I643" s="36">
        <v>19</v>
      </c>
      <c r="J643" s="79">
        <f>IFERROR(VLOOKUP(I643,'[1]ABC Master Lists'!$B$2:$I$346,4,FALSE)," ")</f>
        <v>20</v>
      </c>
      <c r="K643" s="79">
        <f>IFERROR(VLOOKUP(I643,'[1]ABC Master Lists'!$B$2:$I$346,8,FALSE)," ")</f>
        <v>8</v>
      </c>
      <c r="L643" s="118" t="str">
        <f>IFERROR(VLOOKUP(J643,'[1]ABC Master Lists'!$AQ$2:$AS$12,3,FALSE)," ")</f>
        <v>+</v>
      </c>
      <c r="M643" s="118" t="str">
        <f>IFERROR(VLOOKUP(K643,'[1]ABC Master Lists'!$AD$2:$AE$22,2,FALSE), " ")</f>
        <v>+</v>
      </c>
    </row>
    <row r="644" spans="4:13" x14ac:dyDescent="0.25">
      <c r="D644" s="72"/>
      <c r="E644" s="73" t="s">
        <v>103</v>
      </c>
      <c r="F644" s="178">
        <v>0.25</v>
      </c>
      <c r="G644" s="74" t="s">
        <v>54</v>
      </c>
      <c r="H644" s="75" t="s">
        <v>20</v>
      </c>
      <c r="J644" s="79" t="str">
        <f>IFERROR(VLOOKUP(I644,'[1]ABC Master Lists'!$B$2:$I$346,4,FALSE)," ")</f>
        <v xml:space="preserve"> </v>
      </c>
      <c r="K644" s="79" t="str">
        <f>IFERROR(VLOOKUP(I644,'[1]ABC Master Lists'!$B$2:$I$346,8,FALSE)," ")</f>
        <v xml:space="preserve"> </v>
      </c>
      <c r="L644" s="118" t="str">
        <f>IFERROR(VLOOKUP(J644,'[1]ABC Master Lists'!$AQ$2:$AS$12,3,FALSE)," ")</f>
        <v xml:space="preserve"> </v>
      </c>
      <c r="M644" s="118" t="str">
        <f>IFERROR(VLOOKUP(K644,'[1]ABC Master Lists'!$AD$2:$AE$22,2,FALSE), " ")</f>
        <v xml:space="preserve"> </v>
      </c>
    </row>
    <row r="645" spans="4:13" x14ac:dyDescent="0.25">
      <c r="D645" s="186">
        <v>13</v>
      </c>
      <c r="E645" s="187" t="s">
        <v>107</v>
      </c>
      <c r="F645" s="188">
        <v>6.8</v>
      </c>
      <c r="G645" s="189" t="s">
        <v>104</v>
      </c>
      <c r="H645" s="190" t="s">
        <v>20</v>
      </c>
      <c r="I645" s="38">
        <v>34</v>
      </c>
      <c r="J645" s="83">
        <f>IFERROR(VLOOKUP(I645,'[1]ABC Master Lists'!$B$2:$I$346,4,FALSE)," ")</f>
        <v>208</v>
      </c>
      <c r="K645" s="83">
        <f>IFERROR(VLOOKUP(I645,'[1]ABC Master Lists'!$B$2:$I$346,8,FALSE)," ")</f>
        <v>8</v>
      </c>
      <c r="L645" s="122" t="str">
        <f>IFERROR(VLOOKUP(J645,'[1]ABC Master Lists'!$AQ$2:$AS$12,3,FALSE)," ")</f>
        <v xml:space="preserve"> </v>
      </c>
      <c r="M645" s="122" t="str">
        <f>IFERROR(VLOOKUP(K645,'[1]ABC Master Lists'!$AD$2:$AE$22,2,FALSE), " ")</f>
        <v>+</v>
      </c>
    </row>
    <row r="646" spans="4:13" x14ac:dyDescent="0.25">
      <c r="D646" s="191"/>
      <c r="E646" s="192" t="s">
        <v>103</v>
      </c>
      <c r="F646" s="193">
        <v>0.25</v>
      </c>
      <c r="G646" s="194" t="s">
        <v>54</v>
      </c>
      <c r="H646" s="195" t="s">
        <v>20</v>
      </c>
      <c r="I646" s="39"/>
      <c r="J646" s="82" t="str">
        <f>IFERROR(VLOOKUP(I646,'[1]ABC Master Lists'!$B$2:$I$346,4,FALSE)," ")</f>
        <v xml:space="preserve"> </v>
      </c>
      <c r="K646" s="82" t="str">
        <f>IFERROR(VLOOKUP(I646,'[1]ABC Master Lists'!$B$2:$I$346,8,FALSE)," ")</f>
        <v xml:space="preserve"> </v>
      </c>
      <c r="L646" s="121" t="str">
        <f>IFERROR(VLOOKUP(J646,'[1]ABC Master Lists'!$AQ$2:$AS$12,3,FALSE)," ")</f>
        <v xml:space="preserve"> </v>
      </c>
      <c r="M646" s="121" t="str">
        <f>IFERROR(VLOOKUP(K646,'[1]ABC Master Lists'!$AD$2:$AE$22,2,FALSE), " ")</f>
        <v xml:space="preserve"> </v>
      </c>
    </row>
    <row r="647" spans="4:13" x14ac:dyDescent="0.25">
      <c r="D647" s="72">
        <v>14</v>
      </c>
      <c r="E647" s="73" t="s">
        <v>15</v>
      </c>
      <c r="F647" s="178">
        <v>5</v>
      </c>
      <c r="G647" s="74" t="s">
        <v>104</v>
      </c>
      <c r="H647" s="75" t="s">
        <v>20</v>
      </c>
      <c r="I647" s="36">
        <v>76</v>
      </c>
      <c r="J647" s="79">
        <f>IFERROR(VLOOKUP(I647,'[1]ABC Master Lists'!$B$2:$I$346,4,FALSE)," ")</f>
        <v>26</v>
      </c>
      <c r="K647" s="79">
        <f>IFERROR(VLOOKUP(I647,'[1]ABC Master Lists'!$B$2:$I$346,8,FALSE)," ")</f>
        <v>8</v>
      </c>
      <c r="L647" s="118" t="str">
        <f>IFERROR(VLOOKUP(J647,'[1]ABC Master Lists'!$AQ$2:$AS$12,3,FALSE)," ")</f>
        <v>+</v>
      </c>
      <c r="M647" s="118" t="str">
        <f>IFERROR(VLOOKUP(K647,'[1]ABC Master Lists'!$AD$2:$AE$22,2,FALSE), " ")</f>
        <v>+</v>
      </c>
    </row>
    <row r="648" spans="4:13" x14ac:dyDescent="0.25">
      <c r="D648" s="72"/>
      <c r="E648" s="73" t="s">
        <v>103</v>
      </c>
      <c r="F648" s="178">
        <v>0.25</v>
      </c>
      <c r="G648" s="74" t="s">
        <v>54</v>
      </c>
      <c r="H648" s="75" t="s">
        <v>20</v>
      </c>
      <c r="J648" s="79" t="str">
        <f>IFERROR(VLOOKUP(I648,'[1]ABC Master Lists'!$B$2:$I$346,4,FALSE)," ")</f>
        <v xml:space="preserve"> </v>
      </c>
      <c r="K648" s="79" t="str">
        <f>IFERROR(VLOOKUP(I648,'[1]ABC Master Lists'!$B$2:$I$346,8,FALSE)," ")</f>
        <v xml:space="preserve"> </v>
      </c>
      <c r="L648" s="118" t="str">
        <f>IFERROR(VLOOKUP(J648,'[1]ABC Master Lists'!$AQ$2:$AS$12,3,FALSE)," ")</f>
        <v xml:space="preserve"> </v>
      </c>
      <c r="M648" s="118" t="str">
        <f>IFERROR(VLOOKUP(K648,'[1]ABC Master Lists'!$AD$2:$AE$22,2,FALSE), " ")</f>
        <v xml:space="preserve"> </v>
      </c>
    </row>
    <row r="649" spans="4:13" x14ac:dyDescent="0.25">
      <c r="D649" s="186">
        <v>15</v>
      </c>
      <c r="E649" s="187" t="s">
        <v>77</v>
      </c>
      <c r="F649" s="188">
        <v>3</v>
      </c>
      <c r="G649" s="189" t="s">
        <v>104</v>
      </c>
      <c r="H649" s="190" t="s">
        <v>5</v>
      </c>
      <c r="I649" s="38">
        <v>166</v>
      </c>
      <c r="J649" s="83">
        <f>IFERROR(VLOOKUP(I649,'[1]ABC Master Lists'!$B$2:$I$346,4,FALSE)," ")</f>
        <v>2229</v>
      </c>
      <c r="K649" s="83">
        <f>IFERROR(VLOOKUP(I649,'[1]ABC Master Lists'!$B$2:$I$346,8,FALSE)," ")</f>
        <v>68</v>
      </c>
      <c r="L649" s="122" t="str">
        <f>IFERROR(VLOOKUP(J649,'[1]ABC Master Lists'!$AQ$2:$AS$12,3,FALSE)," ")</f>
        <v>+</v>
      </c>
      <c r="M649" s="122" t="str">
        <f>IFERROR(VLOOKUP(K649,'[1]ABC Master Lists'!$AD$2:$AE$22,2,FALSE), " ")</f>
        <v>+</v>
      </c>
    </row>
    <row r="650" spans="4:13" x14ac:dyDescent="0.25">
      <c r="D650" s="72"/>
      <c r="E650" s="73" t="s">
        <v>28</v>
      </c>
      <c r="F650" s="178">
        <v>4</v>
      </c>
      <c r="G650" s="74" t="s">
        <v>104</v>
      </c>
      <c r="H650" s="75" t="s">
        <v>20</v>
      </c>
      <c r="J650" s="79" t="str">
        <f>IFERROR(VLOOKUP(I650,'[1]ABC Master Lists'!$B$2:$I$346,4,FALSE)," ")</f>
        <v xml:space="preserve"> </v>
      </c>
      <c r="K650" s="79" t="str">
        <f>IFERROR(VLOOKUP(I650,'[1]ABC Master Lists'!$B$2:$I$346,8,FALSE)," ")</f>
        <v xml:space="preserve"> </v>
      </c>
      <c r="L650" s="118" t="str">
        <f>IFERROR(VLOOKUP(J650,'[1]ABC Master Lists'!$AQ$2:$AS$12,3,FALSE)," ")</f>
        <v xml:space="preserve"> </v>
      </c>
      <c r="M650" s="118" t="str">
        <f>IFERROR(VLOOKUP(K650,'[1]ABC Master Lists'!$AD$2:$AE$22,2,FALSE), " ")</f>
        <v xml:space="preserve"> </v>
      </c>
    </row>
    <row r="651" spans="4:13" x14ac:dyDescent="0.25">
      <c r="D651" s="191"/>
      <c r="E651" s="192" t="s">
        <v>103</v>
      </c>
      <c r="F651" s="193">
        <v>0.125</v>
      </c>
      <c r="G651" s="194" t="s">
        <v>54</v>
      </c>
      <c r="H651" s="195" t="s">
        <v>20</v>
      </c>
      <c r="I651" s="39"/>
      <c r="J651" s="82" t="str">
        <f>IFERROR(VLOOKUP(I651,'[1]ABC Master Lists'!$B$2:$I$346,4,FALSE)," ")</f>
        <v xml:space="preserve"> </v>
      </c>
      <c r="K651" s="82" t="str">
        <f>IFERROR(VLOOKUP(I651,'[1]ABC Master Lists'!$B$2:$I$346,8,FALSE)," ")</f>
        <v xml:space="preserve"> </v>
      </c>
      <c r="L651" s="121" t="str">
        <f>IFERROR(VLOOKUP(J651,'[1]ABC Master Lists'!$AQ$2:$AS$12,3,FALSE)," ")</f>
        <v xml:space="preserve"> </v>
      </c>
      <c r="M651" s="121" t="str">
        <f>IFERROR(VLOOKUP(K651,'[1]ABC Master Lists'!$AD$2:$AE$22,2,FALSE), " ")</f>
        <v xml:space="preserve"> </v>
      </c>
    </row>
    <row r="652" spans="4:13" x14ac:dyDescent="0.25">
      <c r="D652" s="72">
        <v>16</v>
      </c>
      <c r="E652" s="73" t="s">
        <v>77</v>
      </c>
      <c r="F652" s="178">
        <v>5</v>
      </c>
      <c r="G652" s="74" t="s">
        <v>104</v>
      </c>
      <c r="H652" s="75" t="s">
        <v>5</v>
      </c>
      <c r="I652" s="36">
        <v>167</v>
      </c>
      <c r="J652" s="79">
        <f>IFERROR(VLOOKUP(I652,'[1]ABC Master Lists'!$B$2:$I$346,4,FALSE)," ")</f>
        <v>2229</v>
      </c>
      <c r="K652" s="79">
        <f>IFERROR(VLOOKUP(I652,'[1]ABC Master Lists'!$B$2:$I$346,8,FALSE)," ")</f>
        <v>68</v>
      </c>
      <c r="L652" s="118" t="str">
        <f>IFERROR(VLOOKUP(J652,'[1]ABC Master Lists'!$AQ$2:$AS$12,3,FALSE)," ")</f>
        <v>+</v>
      </c>
      <c r="M652" s="118" t="str">
        <f>IFERROR(VLOOKUP(K652,'[1]ABC Master Lists'!$AD$2:$AE$22,2,FALSE), " ")</f>
        <v>+</v>
      </c>
    </row>
    <row r="653" spans="4:13" x14ac:dyDescent="0.25">
      <c r="D653" s="72"/>
      <c r="E653" s="73" t="s">
        <v>28</v>
      </c>
      <c r="F653" s="178">
        <v>4.6500000000000004</v>
      </c>
      <c r="G653" s="74" t="s">
        <v>104</v>
      </c>
      <c r="H653" s="75" t="s">
        <v>20</v>
      </c>
      <c r="J653" s="79" t="str">
        <f>IFERROR(VLOOKUP(I653,'[1]ABC Master Lists'!$B$2:$I$346,4,FALSE)," ")</f>
        <v xml:space="preserve"> </v>
      </c>
      <c r="K653" s="79" t="str">
        <f>IFERROR(VLOOKUP(I653,'[1]ABC Master Lists'!$B$2:$I$346,8,FALSE)," ")</f>
        <v xml:space="preserve"> </v>
      </c>
      <c r="L653" s="118" t="str">
        <f>IFERROR(VLOOKUP(J653,'[1]ABC Master Lists'!$AQ$2:$AS$12,3,FALSE)," ")</f>
        <v xml:space="preserve"> </v>
      </c>
      <c r="M653" s="118" t="str">
        <f>IFERROR(VLOOKUP(K653,'[1]ABC Master Lists'!$AD$2:$AE$22,2,FALSE), " ")</f>
        <v xml:space="preserve"> </v>
      </c>
    </row>
    <row r="654" spans="4:13" x14ac:dyDescent="0.25">
      <c r="D654" s="72"/>
      <c r="E654" s="73" t="s">
        <v>103</v>
      </c>
      <c r="F654" s="178">
        <v>0.125</v>
      </c>
      <c r="G654" s="74" t="s">
        <v>54</v>
      </c>
      <c r="H654" s="75" t="s">
        <v>20</v>
      </c>
      <c r="J654" s="79" t="str">
        <f>IFERROR(VLOOKUP(I654,'[1]ABC Master Lists'!$B$2:$I$346,4,FALSE)," ")</f>
        <v xml:space="preserve"> </v>
      </c>
      <c r="K654" s="79" t="str">
        <f>IFERROR(VLOOKUP(I654,'[1]ABC Master Lists'!$B$2:$I$346,8,FALSE)," ")</f>
        <v xml:space="preserve"> </v>
      </c>
      <c r="L654" s="118" t="str">
        <f>IFERROR(VLOOKUP(J654,'[1]ABC Master Lists'!$AQ$2:$AS$12,3,FALSE)," ")</f>
        <v xml:space="preserve"> </v>
      </c>
      <c r="M654" s="118" t="str">
        <f>IFERROR(VLOOKUP(K654,'[1]ABC Master Lists'!$AD$2:$AE$22,2,FALSE), " ")</f>
        <v xml:space="preserve"> </v>
      </c>
    </row>
    <row r="655" spans="4:13" x14ac:dyDescent="0.25">
      <c r="D655" s="186">
        <v>17</v>
      </c>
      <c r="E655" s="187" t="s">
        <v>10</v>
      </c>
      <c r="F655" s="188">
        <v>6</v>
      </c>
      <c r="G655" s="189" t="s">
        <v>102</v>
      </c>
      <c r="H655" s="190" t="s">
        <v>5</v>
      </c>
      <c r="I655" s="38">
        <v>102</v>
      </c>
      <c r="J655" s="83">
        <f>IFERROR(VLOOKUP(I655,'[1]ABC Master Lists'!$B$2:$I$346,4,FALSE)," ")</f>
        <v>41624</v>
      </c>
      <c r="K655" s="83">
        <f>IFERROR(VLOOKUP(I655,'[1]ABC Master Lists'!$B$2:$I$346,8,FALSE)," ")</f>
        <v>68</v>
      </c>
      <c r="L655" s="122" t="str">
        <f>IFERROR(VLOOKUP(J655,'[1]ABC Master Lists'!$AQ$2:$AS$12,3,FALSE)," ")</f>
        <v>+</v>
      </c>
      <c r="M655" s="122" t="str">
        <f>IFERROR(VLOOKUP(K655,'[1]ABC Master Lists'!$AD$2:$AE$22,2,FALSE), " ")</f>
        <v>+</v>
      </c>
    </row>
    <row r="656" spans="4:13" x14ac:dyDescent="0.25">
      <c r="D656" s="72"/>
      <c r="E656" s="73" t="s">
        <v>103</v>
      </c>
      <c r="F656" s="178">
        <v>0.25</v>
      </c>
      <c r="G656" s="74" t="s">
        <v>54</v>
      </c>
      <c r="H656" s="75" t="s">
        <v>5</v>
      </c>
      <c r="J656" s="79" t="str">
        <f>IFERROR(VLOOKUP(I656,'[1]ABC Master Lists'!$B$2:$I$346,4,FALSE)," ")</f>
        <v xml:space="preserve"> </v>
      </c>
      <c r="K656" s="79" t="str">
        <f>IFERROR(VLOOKUP(I656,'[1]ABC Master Lists'!$B$2:$I$346,8,FALSE)," ")</f>
        <v xml:space="preserve"> </v>
      </c>
      <c r="L656" s="118" t="str">
        <f>IFERROR(VLOOKUP(J656,'[1]ABC Master Lists'!$AQ$2:$AS$12,3,FALSE)," ")</f>
        <v xml:space="preserve"> </v>
      </c>
      <c r="M656" s="118" t="str">
        <f>IFERROR(VLOOKUP(K656,'[1]ABC Master Lists'!$AD$2:$AE$22,2,FALSE), " ")</f>
        <v xml:space="preserve"> </v>
      </c>
    </row>
    <row r="657" spans="4:13" x14ac:dyDescent="0.25">
      <c r="D657" s="72"/>
      <c r="E657" s="73" t="s">
        <v>44</v>
      </c>
      <c r="F657" s="178">
        <v>4</v>
      </c>
      <c r="G657" s="74" t="s">
        <v>104</v>
      </c>
      <c r="H657" s="75" t="s">
        <v>20</v>
      </c>
      <c r="J657" s="79" t="str">
        <f>IFERROR(VLOOKUP(I657,'[1]ABC Master Lists'!$B$2:$I$346,4,FALSE)," ")</f>
        <v xml:space="preserve"> </v>
      </c>
      <c r="K657" s="79" t="str">
        <f>IFERROR(VLOOKUP(I657,'[1]ABC Master Lists'!$B$2:$I$346,8,FALSE)," ")</f>
        <v xml:space="preserve"> </v>
      </c>
      <c r="L657" s="118" t="str">
        <f>IFERROR(VLOOKUP(J657,'[1]ABC Master Lists'!$AQ$2:$AS$12,3,FALSE)," ")</f>
        <v xml:space="preserve"> </v>
      </c>
      <c r="M657" s="118" t="str">
        <f>IFERROR(VLOOKUP(K657,'[1]ABC Master Lists'!$AD$2:$AE$22,2,FALSE), " ")</f>
        <v xml:space="preserve"> </v>
      </c>
    </row>
    <row r="658" spans="4:13" x14ac:dyDescent="0.25">
      <c r="D658" s="191"/>
      <c r="E658" s="192" t="s">
        <v>103</v>
      </c>
      <c r="F658" s="193">
        <v>0.25</v>
      </c>
      <c r="G658" s="194" t="s">
        <v>54</v>
      </c>
      <c r="H658" s="195" t="s">
        <v>20</v>
      </c>
      <c r="I658" s="39"/>
      <c r="J658" s="82" t="str">
        <f>IFERROR(VLOOKUP(I658,'[1]ABC Master Lists'!$B$2:$I$346,4,FALSE)," ")</f>
        <v xml:space="preserve"> </v>
      </c>
      <c r="K658" s="82" t="str">
        <f>IFERROR(VLOOKUP(I658,'[1]ABC Master Lists'!$B$2:$I$346,8,FALSE)," ")</f>
        <v xml:space="preserve"> </v>
      </c>
      <c r="L658" s="121" t="str">
        <f>IFERROR(VLOOKUP(J658,'[1]ABC Master Lists'!$AQ$2:$AS$12,3,FALSE)," ")</f>
        <v xml:space="preserve"> </v>
      </c>
      <c r="M658" s="121" t="str">
        <f>IFERROR(VLOOKUP(K658,'[1]ABC Master Lists'!$AD$2:$AE$22,2,FALSE), " ")</f>
        <v xml:space="preserve"> </v>
      </c>
    </row>
    <row r="659" spans="4:13" x14ac:dyDescent="0.25">
      <c r="D659" s="72">
        <v>18</v>
      </c>
      <c r="E659" s="73" t="s">
        <v>6</v>
      </c>
      <c r="F659" s="178">
        <v>6</v>
      </c>
      <c r="G659" s="74" t="s">
        <v>104</v>
      </c>
      <c r="H659" s="75" t="s">
        <v>5</v>
      </c>
      <c r="I659" s="36">
        <v>13</v>
      </c>
      <c r="J659" s="79">
        <f>IFERROR(VLOOKUP(I659,'[1]ABC Master Lists'!$B$2:$I$346,4,FALSE)," ")</f>
        <v>20</v>
      </c>
      <c r="K659" s="79">
        <f>IFERROR(VLOOKUP(I659,'[1]ABC Master Lists'!$B$2:$I$346,8,FALSE)," ")</f>
        <v>68</v>
      </c>
      <c r="L659" s="118" t="str">
        <f>IFERROR(VLOOKUP(J659,'[1]ABC Master Lists'!$AQ$2:$AS$12,3,FALSE)," ")</f>
        <v>+</v>
      </c>
      <c r="M659" s="118" t="str">
        <f>IFERROR(VLOOKUP(K659,'[1]ABC Master Lists'!$AD$2:$AE$22,2,FALSE), " ")</f>
        <v>+</v>
      </c>
    </row>
    <row r="660" spans="4:13" x14ac:dyDescent="0.25">
      <c r="D660" s="72"/>
      <c r="E660" s="73" t="s">
        <v>103</v>
      </c>
      <c r="F660" s="178">
        <v>0.25</v>
      </c>
      <c r="G660" s="74" t="s">
        <v>54</v>
      </c>
      <c r="H660" s="75" t="s">
        <v>5</v>
      </c>
      <c r="J660" s="79" t="str">
        <f>IFERROR(VLOOKUP(I660,'[1]ABC Master Lists'!$B$2:$I$346,4,FALSE)," ")</f>
        <v xml:space="preserve"> </v>
      </c>
      <c r="K660" s="79" t="str">
        <f>IFERROR(VLOOKUP(I660,'[1]ABC Master Lists'!$B$2:$I$346,8,FALSE)," ")</f>
        <v xml:space="preserve"> </v>
      </c>
      <c r="L660" s="118" t="str">
        <f>IFERROR(VLOOKUP(J660,'[1]ABC Master Lists'!$AQ$2:$AS$12,3,FALSE)," ")</f>
        <v xml:space="preserve"> </v>
      </c>
      <c r="M660" s="118" t="str">
        <f>IFERROR(VLOOKUP(K660,'[1]ABC Master Lists'!$AD$2:$AE$22,2,FALSE), " ")</f>
        <v xml:space="preserve"> </v>
      </c>
    </row>
    <row r="661" spans="4:13" x14ac:dyDescent="0.25">
      <c r="D661" s="72"/>
      <c r="E661" s="73" t="s">
        <v>6</v>
      </c>
      <c r="F661" s="178">
        <v>6</v>
      </c>
      <c r="G661" s="74" t="s">
        <v>104</v>
      </c>
      <c r="H661" s="75" t="s">
        <v>20</v>
      </c>
      <c r="J661" s="79" t="str">
        <f>IFERROR(VLOOKUP(I661,'[1]ABC Master Lists'!$B$2:$I$346,4,FALSE)," ")</f>
        <v xml:space="preserve"> </v>
      </c>
      <c r="K661" s="79" t="str">
        <f>IFERROR(VLOOKUP(I661,'[1]ABC Master Lists'!$B$2:$I$346,8,FALSE)," ")</f>
        <v xml:space="preserve"> </v>
      </c>
      <c r="L661" s="118" t="str">
        <f>IFERROR(VLOOKUP(J661,'[1]ABC Master Lists'!$AQ$2:$AS$12,3,FALSE)," ")</f>
        <v xml:space="preserve"> </v>
      </c>
      <c r="M661" s="118" t="str">
        <f>IFERROR(VLOOKUP(K661,'[1]ABC Master Lists'!$AD$2:$AE$22,2,FALSE), " ")</f>
        <v xml:space="preserve"> </v>
      </c>
    </row>
    <row r="662" spans="4:13" x14ac:dyDescent="0.25">
      <c r="D662" s="72"/>
      <c r="E662" s="73" t="s">
        <v>103</v>
      </c>
      <c r="F662" s="178">
        <v>0.25</v>
      </c>
      <c r="G662" s="74" t="s">
        <v>54</v>
      </c>
      <c r="H662" s="75" t="s">
        <v>20</v>
      </c>
      <c r="J662" s="79" t="str">
        <f>IFERROR(VLOOKUP(I662,'[1]ABC Master Lists'!$B$2:$I$346,4,FALSE)," ")</f>
        <v xml:space="preserve"> </v>
      </c>
      <c r="K662" s="79" t="str">
        <f>IFERROR(VLOOKUP(I662,'[1]ABC Master Lists'!$B$2:$I$346,8,FALSE)," ")</f>
        <v xml:space="preserve"> </v>
      </c>
      <c r="L662" s="118" t="str">
        <f>IFERROR(VLOOKUP(J662,'[1]ABC Master Lists'!$AQ$2:$AS$12,3,FALSE)," ")</f>
        <v xml:space="preserve"> </v>
      </c>
      <c r="M662" s="118" t="str">
        <f>IFERROR(VLOOKUP(K662,'[1]ABC Master Lists'!$AD$2:$AE$22,2,FALSE), " ")</f>
        <v xml:space="preserve"> </v>
      </c>
    </row>
    <row r="663" spans="4:13" x14ac:dyDescent="0.25">
      <c r="D663" s="186">
        <v>19</v>
      </c>
      <c r="E663" s="187" t="s">
        <v>107</v>
      </c>
      <c r="F663" s="188">
        <v>6.8</v>
      </c>
      <c r="G663" s="189" t="s">
        <v>104</v>
      </c>
      <c r="H663" s="190" t="s">
        <v>5</v>
      </c>
      <c r="I663" s="38">
        <v>35</v>
      </c>
      <c r="J663" s="83">
        <f>IFERROR(VLOOKUP(I663,'[1]ABC Master Lists'!$B$2:$I$346,4,FALSE)," ")</f>
        <v>208</v>
      </c>
      <c r="K663" s="83">
        <f>IFERROR(VLOOKUP(I663,'[1]ABC Master Lists'!$B$2:$I$346,8,FALSE)," ")</f>
        <v>68</v>
      </c>
      <c r="L663" s="122" t="str">
        <f>IFERROR(VLOOKUP(J663,'[1]ABC Master Lists'!$AQ$2:$AS$12,3,FALSE)," ")</f>
        <v xml:space="preserve"> </v>
      </c>
      <c r="M663" s="122" t="str">
        <f>IFERROR(VLOOKUP(K663,'[1]ABC Master Lists'!$AD$2:$AE$22,2,FALSE), " ")</f>
        <v>+</v>
      </c>
    </row>
    <row r="664" spans="4:13" x14ac:dyDescent="0.25">
      <c r="D664" s="72"/>
      <c r="E664" s="73" t="s">
        <v>103</v>
      </c>
      <c r="F664" s="178">
        <v>0.25</v>
      </c>
      <c r="G664" s="74" t="s">
        <v>54</v>
      </c>
      <c r="H664" s="75" t="s">
        <v>5</v>
      </c>
      <c r="J664" s="79" t="str">
        <f>IFERROR(VLOOKUP(I664,'[1]ABC Master Lists'!$B$2:$I$346,4,FALSE)," ")</f>
        <v xml:space="preserve"> </v>
      </c>
      <c r="K664" s="79" t="str">
        <f>IFERROR(VLOOKUP(I664,'[1]ABC Master Lists'!$B$2:$I$346,8,FALSE)," ")</f>
        <v xml:space="preserve"> </v>
      </c>
      <c r="L664" s="118" t="str">
        <f>IFERROR(VLOOKUP(J664,'[1]ABC Master Lists'!$AQ$2:$AS$12,3,FALSE)," ")</f>
        <v xml:space="preserve"> </v>
      </c>
      <c r="M664" s="118" t="str">
        <f>IFERROR(VLOOKUP(K664,'[1]ABC Master Lists'!$AD$2:$AE$22,2,FALSE), " ")</f>
        <v xml:space="preserve"> </v>
      </c>
    </row>
    <row r="665" spans="4:13" x14ac:dyDescent="0.25">
      <c r="D665" s="72"/>
      <c r="E665" s="73" t="s">
        <v>107</v>
      </c>
      <c r="F665" s="178">
        <v>6.8</v>
      </c>
      <c r="G665" s="74" t="s">
        <v>104</v>
      </c>
      <c r="H665" s="75" t="s">
        <v>20</v>
      </c>
      <c r="J665" s="79" t="str">
        <f>IFERROR(VLOOKUP(I665,'[1]ABC Master Lists'!$B$2:$I$346,4,FALSE)," ")</f>
        <v xml:space="preserve"> </v>
      </c>
      <c r="K665" s="79" t="str">
        <f>IFERROR(VLOOKUP(I665,'[1]ABC Master Lists'!$B$2:$I$346,8,FALSE)," ")</f>
        <v xml:space="preserve"> </v>
      </c>
      <c r="L665" s="118" t="str">
        <f>IFERROR(VLOOKUP(J665,'[1]ABC Master Lists'!$AQ$2:$AS$12,3,FALSE)," ")</f>
        <v xml:space="preserve"> </v>
      </c>
      <c r="M665" s="118" t="str">
        <f>IFERROR(VLOOKUP(K665,'[1]ABC Master Lists'!$AD$2:$AE$22,2,FALSE), " ")</f>
        <v xml:space="preserve"> </v>
      </c>
    </row>
    <row r="666" spans="4:13" x14ac:dyDescent="0.25">
      <c r="D666" s="191"/>
      <c r="E666" s="192" t="s">
        <v>103</v>
      </c>
      <c r="F666" s="193">
        <v>0.25</v>
      </c>
      <c r="G666" s="194" t="s">
        <v>54</v>
      </c>
      <c r="H666" s="195" t="s">
        <v>20</v>
      </c>
      <c r="I666" s="39"/>
      <c r="J666" s="82" t="str">
        <f>IFERROR(VLOOKUP(I666,'[1]ABC Master Lists'!$B$2:$I$346,4,FALSE)," ")</f>
        <v xml:space="preserve"> </v>
      </c>
      <c r="K666" s="82" t="str">
        <f>IFERROR(VLOOKUP(I666,'[1]ABC Master Lists'!$B$2:$I$346,8,FALSE)," ")</f>
        <v xml:space="preserve"> </v>
      </c>
      <c r="L666" s="121" t="str">
        <f>IFERROR(VLOOKUP(J666,'[1]ABC Master Lists'!$AQ$2:$AS$12,3,FALSE)," ")</f>
        <v xml:space="preserve"> </v>
      </c>
      <c r="M666" s="121" t="str">
        <f>IFERROR(VLOOKUP(K666,'[1]ABC Master Lists'!$AD$2:$AE$22,2,FALSE), " ")</f>
        <v xml:space="preserve"> </v>
      </c>
    </row>
    <row r="667" spans="4:13" x14ac:dyDescent="0.25">
      <c r="D667" s="72">
        <v>20</v>
      </c>
      <c r="E667" s="73" t="s">
        <v>6</v>
      </c>
      <c r="F667" s="178">
        <v>9</v>
      </c>
      <c r="G667" s="74" t="s">
        <v>104</v>
      </c>
      <c r="H667" s="75" t="s">
        <v>5</v>
      </c>
      <c r="I667" s="36">
        <v>36</v>
      </c>
      <c r="J667" s="79">
        <f>IFERROR(VLOOKUP(I667,'[1]ABC Master Lists'!$B$2:$I$346,4,FALSE)," ")</f>
        <v>208</v>
      </c>
      <c r="K667" s="79">
        <f>IFERROR(VLOOKUP(I667,'[1]ABC Master Lists'!$B$2:$I$346,8,FALSE)," ")</f>
        <v>68</v>
      </c>
      <c r="L667" s="118" t="str">
        <f>IFERROR(VLOOKUP(J667,'[1]ABC Master Lists'!$AQ$2:$AS$12,3,FALSE)," ")</f>
        <v xml:space="preserve"> </v>
      </c>
      <c r="M667" s="118" t="str">
        <f>IFERROR(VLOOKUP(K667,'[1]ABC Master Lists'!$AD$2:$AE$22,2,FALSE), " ")</f>
        <v>+</v>
      </c>
    </row>
    <row r="668" spans="4:13" x14ac:dyDescent="0.25">
      <c r="D668" s="72"/>
      <c r="E668" s="73" t="s">
        <v>103</v>
      </c>
      <c r="F668" s="178">
        <v>0.25</v>
      </c>
      <c r="G668" s="74" t="s">
        <v>54</v>
      </c>
      <c r="H668" s="75" t="s">
        <v>5</v>
      </c>
      <c r="J668" s="79" t="str">
        <f>IFERROR(VLOOKUP(I668,'[1]ABC Master Lists'!$B$2:$I$346,4,FALSE)," ")</f>
        <v xml:space="preserve"> </v>
      </c>
      <c r="K668" s="79" t="str">
        <f>IFERROR(VLOOKUP(I668,'[1]ABC Master Lists'!$B$2:$I$346,8,FALSE)," ")</f>
        <v xml:space="preserve"> </v>
      </c>
      <c r="L668" s="118" t="str">
        <f>IFERROR(VLOOKUP(J668,'[1]ABC Master Lists'!$AQ$2:$AS$12,3,FALSE)," ")</f>
        <v xml:space="preserve"> </v>
      </c>
      <c r="M668" s="118" t="str">
        <f>IFERROR(VLOOKUP(K668,'[1]ABC Master Lists'!$AD$2:$AE$22,2,FALSE), " ")</f>
        <v xml:space="preserve"> </v>
      </c>
    </row>
    <row r="669" spans="4:13" x14ac:dyDescent="0.25">
      <c r="D669" s="72"/>
      <c r="E669" s="73" t="s">
        <v>107</v>
      </c>
      <c r="F669" s="178">
        <v>6.8</v>
      </c>
      <c r="G669" s="74" t="s">
        <v>104</v>
      </c>
      <c r="H669" s="75" t="s">
        <v>20</v>
      </c>
      <c r="J669" s="79" t="str">
        <f>IFERROR(VLOOKUP(I669,'[1]ABC Master Lists'!$B$2:$I$346,4,FALSE)," ")</f>
        <v xml:space="preserve"> </v>
      </c>
      <c r="K669" s="79" t="str">
        <f>IFERROR(VLOOKUP(I669,'[1]ABC Master Lists'!$B$2:$I$346,8,FALSE)," ")</f>
        <v xml:space="preserve"> </v>
      </c>
      <c r="L669" s="118" t="str">
        <f>IFERROR(VLOOKUP(J669,'[1]ABC Master Lists'!$AQ$2:$AS$12,3,FALSE)," ")</f>
        <v xml:space="preserve"> </v>
      </c>
      <c r="M669" s="118" t="str">
        <f>IFERROR(VLOOKUP(K669,'[1]ABC Master Lists'!$AD$2:$AE$22,2,FALSE), " ")</f>
        <v xml:space="preserve"> </v>
      </c>
    </row>
    <row r="670" spans="4:13" x14ac:dyDescent="0.25">
      <c r="D670" s="72"/>
      <c r="E670" s="73" t="s">
        <v>103</v>
      </c>
      <c r="F670" s="178">
        <v>0.25</v>
      </c>
      <c r="G670" s="74" t="s">
        <v>54</v>
      </c>
      <c r="H670" s="75" t="s">
        <v>20</v>
      </c>
      <c r="J670" s="79" t="str">
        <f>IFERROR(VLOOKUP(I670,'[1]ABC Master Lists'!$B$2:$I$346,4,FALSE)," ")</f>
        <v xml:space="preserve"> </v>
      </c>
      <c r="K670" s="79" t="str">
        <f>IFERROR(VLOOKUP(I670,'[1]ABC Master Lists'!$B$2:$I$346,8,FALSE)," ")</f>
        <v xml:space="preserve"> </v>
      </c>
      <c r="L670" s="118" t="str">
        <f>IFERROR(VLOOKUP(J670,'[1]ABC Master Lists'!$AQ$2:$AS$12,3,FALSE)," ")</f>
        <v xml:space="preserve"> </v>
      </c>
      <c r="M670" s="118" t="str">
        <f>IFERROR(VLOOKUP(K670,'[1]ABC Master Lists'!$AD$2:$AE$22,2,FALSE), " ")</f>
        <v xml:space="preserve"> </v>
      </c>
    </row>
    <row r="671" spans="4:13" x14ac:dyDescent="0.25">
      <c r="D671" s="186">
        <v>21</v>
      </c>
      <c r="E671" s="187" t="s">
        <v>6</v>
      </c>
      <c r="F671" s="188">
        <v>9</v>
      </c>
      <c r="G671" s="189" t="s">
        <v>104</v>
      </c>
      <c r="H671" s="190" t="s">
        <v>5</v>
      </c>
      <c r="I671" s="38">
        <v>23</v>
      </c>
      <c r="J671" s="83">
        <f>IFERROR(VLOOKUP(I671,'[1]ABC Master Lists'!$B$2:$I$346,4,FALSE)," ")</f>
        <v>20</v>
      </c>
      <c r="K671" s="83">
        <f>IFERROR(VLOOKUP(I671,'[1]ABC Master Lists'!$B$2:$I$346,8,FALSE)," ")</f>
        <v>68</v>
      </c>
      <c r="L671" s="122" t="str">
        <f>IFERROR(VLOOKUP(J671,'[1]ABC Master Lists'!$AQ$2:$AS$12,3,FALSE)," ")</f>
        <v>+</v>
      </c>
      <c r="M671" s="122" t="str">
        <f>IFERROR(VLOOKUP(K671,'[1]ABC Master Lists'!$AD$2:$AE$22,2,FALSE), " ")</f>
        <v>+</v>
      </c>
    </row>
    <row r="672" spans="4:13" x14ac:dyDescent="0.25">
      <c r="D672" s="72"/>
      <c r="E672" s="73" t="s">
        <v>103</v>
      </c>
      <c r="F672" s="178">
        <v>0.25</v>
      </c>
      <c r="G672" s="74" t="s">
        <v>54</v>
      </c>
      <c r="H672" s="75" t="s">
        <v>5</v>
      </c>
      <c r="J672" s="79" t="str">
        <f>IFERROR(VLOOKUP(I672,'[1]ABC Master Lists'!$B$2:$I$346,4,FALSE)," ")</f>
        <v xml:space="preserve"> </v>
      </c>
      <c r="K672" s="79" t="str">
        <f>IFERROR(VLOOKUP(I672,'[1]ABC Master Lists'!$B$2:$I$346,8,FALSE)," ")</f>
        <v xml:space="preserve"> </v>
      </c>
      <c r="L672" s="118" t="str">
        <f>IFERROR(VLOOKUP(J672,'[1]ABC Master Lists'!$AQ$2:$AS$12,3,FALSE)," ")</f>
        <v xml:space="preserve"> </v>
      </c>
      <c r="M672" s="118" t="str">
        <f>IFERROR(VLOOKUP(K672,'[1]ABC Master Lists'!$AD$2:$AE$22,2,FALSE), " ")</f>
        <v xml:space="preserve"> </v>
      </c>
    </row>
    <row r="673" spans="1:13" x14ac:dyDescent="0.25">
      <c r="D673" s="72"/>
      <c r="E673" s="73" t="s">
        <v>6</v>
      </c>
      <c r="F673" s="178">
        <v>9</v>
      </c>
      <c r="G673" s="74" t="s">
        <v>104</v>
      </c>
      <c r="H673" s="75" t="s">
        <v>20</v>
      </c>
      <c r="J673" s="79" t="str">
        <f>IFERROR(VLOOKUP(I673,'[1]ABC Master Lists'!$B$2:$I$346,4,FALSE)," ")</f>
        <v xml:space="preserve"> </v>
      </c>
      <c r="K673" s="79" t="str">
        <f>IFERROR(VLOOKUP(I673,'[1]ABC Master Lists'!$B$2:$I$346,8,FALSE)," ")</f>
        <v xml:space="preserve"> </v>
      </c>
      <c r="L673" s="118" t="str">
        <f>IFERROR(VLOOKUP(J673,'[1]ABC Master Lists'!$AQ$2:$AS$12,3,FALSE)," ")</f>
        <v xml:space="preserve"> </v>
      </c>
      <c r="M673" s="118" t="str">
        <f>IFERROR(VLOOKUP(K673,'[1]ABC Master Lists'!$AD$2:$AE$22,2,FALSE), " ")</f>
        <v xml:space="preserve"> </v>
      </c>
    </row>
    <row r="674" spans="1:13" x14ac:dyDescent="0.25">
      <c r="D674" s="191"/>
      <c r="E674" s="192" t="s">
        <v>103</v>
      </c>
      <c r="F674" s="193">
        <v>0.25</v>
      </c>
      <c r="G674" s="194" t="s">
        <v>54</v>
      </c>
      <c r="H674" s="195" t="s">
        <v>20</v>
      </c>
      <c r="I674" s="39"/>
      <c r="J674" s="82" t="str">
        <f>IFERROR(VLOOKUP(I674,'[1]ABC Master Lists'!$B$2:$I$346,4,FALSE)," ")</f>
        <v xml:space="preserve"> </v>
      </c>
      <c r="K674" s="82" t="str">
        <f>IFERROR(VLOOKUP(I674,'[1]ABC Master Lists'!$B$2:$I$346,8,FALSE)," ")</f>
        <v xml:space="preserve"> </v>
      </c>
      <c r="L674" s="121" t="str">
        <f>IFERROR(VLOOKUP(J674,'[1]ABC Master Lists'!$AQ$2:$AS$12,3,FALSE)," ")</f>
        <v xml:space="preserve"> </v>
      </c>
      <c r="M674" s="121" t="str">
        <f>IFERROR(VLOOKUP(K674,'[1]ABC Master Lists'!$AD$2:$AE$22,2,FALSE), " ")</f>
        <v xml:space="preserve"> </v>
      </c>
    </row>
    <row r="675" spans="1:13" x14ac:dyDescent="0.25">
      <c r="D675" s="72">
        <v>22</v>
      </c>
      <c r="E675" s="73" t="s">
        <v>77</v>
      </c>
      <c r="F675" s="178">
        <v>3</v>
      </c>
      <c r="G675" s="74" t="s">
        <v>104</v>
      </c>
      <c r="H675" s="75" t="s">
        <v>5</v>
      </c>
      <c r="I675" s="36">
        <v>168</v>
      </c>
      <c r="J675" s="79">
        <f>IFERROR(VLOOKUP(I675,'[1]ABC Master Lists'!$B$2:$I$346,4,FALSE)," ")</f>
        <v>2229</v>
      </c>
      <c r="K675" s="79">
        <f>IFERROR(VLOOKUP(I675,'[1]ABC Master Lists'!$B$2:$I$346,8,FALSE)," ")</f>
        <v>68</v>
      </c>
      <c r="L675" s="118" t="str">
        <f>IFERROR(VLOOKUP(J675,'[1]ABC Master Lists'!$AQ$2:$AS$12,3,FALSE)," ")</f>
        <v>+</v>
      </c>
      <c r="M675" s="118" t="str">
        <f>IFERROR(VLOOKUP(K675,'[1]ABC Master Lists'!$AD$2:$AE$22,2,FALSE), " ")</f>
        <v>+</v>
      </c>
    </row>
    <row r="676" spans="1:13" x14ac:dyDescent="0.25">
      <c r="D676" s="72"/>
      <c r="E676" s="73" t="s">
        <v>28</v>
      </c>
      <c r="F676" s="178">
        <v>4.6500000000000004</v>
      </c>
      <c r="G676" s="74" t="s">
        <v>104</v>
      </c>
      <c r="H676" s="75" t="s">
        <v>20</v>
      </c>
      <c r="J676" s="79" t="str">
        <f>IFERROR(VLOOKUP(I676,'[1]ABC Master Lists'!$B$2:$I$346,4,FALSE)," ")</f>
        <v xml:space="preserve"> </v>
      </c>
      <c r="K676" s="79" t="str">
        <f>IFERROR(VLOOKUP(I676,'[1]ABC Master Lists'!$B$2:$I$346,8,FALSE)," ")</f>
        <v xml:space="preserve"> </v>
      </c>
      <c r="L676" s="118" t="str">
        <f>IFERROR(VLOOKUP(J676,'[1]ABC Master Lists'!$AQ$2:$AS$12,3,FALSE)," ")</f>
        <v xml:space="preserve"> </v>
      </c>
      <c r="M676" s="118" t="str">
        <f>IFERROR(VLOOKUP(K676,'[1]ABC Master Lists'!$AD$2:$AE$22,2,FALSE), " ")</f>
        <v xml:space="preserve"> </v>
      </c>
    </row>
    <row r="677" spans="1:13" x14ac:dyDescent="0.25">
      <c r="A677" s="31">
        <v>2013</v>
      </c>
      <c r="B677" s="31" t="s">
        <v>168</v>
      </c>
      <c r="C677" s="31" t="s">
        <v>170</v>
      </c>
      <c r="D677" s="181">
        <v>1</v>
      </c>
      <c r="E677" s="182" t="s">
        <v>108</v>
      </c>
      <c r="F677" s="17" t="s">
        <v>2</v>
      </c>
      <c r="G677" s="196" t="s">
        <v>2</v>
      </c>
      <c r="H677" s="37" t="s">
        <v>2</v>
      </c>
      <c r="I677" s="37">
        <v>1</v>
      </c>
      <c r="J677" s="81" t="str">
        <f>IFERROR(VLOOKUP(I677,'[1]ABC Master Lists'!$B$2:$I$346,4,FALSE)," ")</f>
        <v>.</v>
      </c>
      <c r="K677" s="81" t="str">
        <f>IFERROR(VLOOKUP(I677,'[1]ABC Master Lists'!$B$2:$I$346,8,FALSE)," ")</f>
        <v>.</v>
      </c>
      <c r="L677" s="120" t="str">
        <f>IFERROR(VLOOKUP(J677,'[1]ABC Master Lists'!$AQ$2:$AS$12,3,FALSE)," ")</f>
        <v>+</v>
      </c>
      <c r="M677" s="120" t="str">
        <f>IFERROR(VLOOKUP(K677,'[1]ABC Master Lists'!$AD$2:$AE$22,2,FALSE), " ")</f>
        <v>+</v>
      </c>
    </row>
    <row r="678" spans="1:13" x14ac:dyDescent="0.25">
      <c r="D678" s="72">
        <v>2</v>
      </c>
      <c r="E678" s="73" t="s">
        <v>109</v>
      </c>
      <c r="F678" s="178">
        <v>8</v>
      </c>
      <c r="G678" s="74" t="s">
        <v>80</v>
      </c>
      <c r="H678" s="75" t="s">
        <v>5</v>
      </c>
      <c r="I678" s="36">
        <v>120</v>
      </c>
      <c r="J678" s="79">
        <f>IFERROR(VLOOKUP(I678,'[1]ABC Master Lists'!$B$2:$I$346,4,FALSE)," ")</f>
        <v>28</v>
      </c>
      <c r="K678" s="79">
        <f>IFERROR(VLOOKUP(I678,'[1]ABC Master Lists'!$B$2:$I$346,8,FALSE)," ")</f>
        <v>6</v>
      </c>
      <c r="L678" s="118" t="str">
        <f>IFERROR(VLOOKUP(J678,'[1]ABC Master Lists'!$AQ$2:$AS$12,3,FALSE)," ")</f>
        <v>+</v>
      </c>
      <c r="M678" s="118" t="str">
        <f>IFERROR(VLOOKUP(K678,'[1]ABC Master Lists'!$AD$2:$AE$22,2,FALSE), " ")</f>
        <v>+</v>
      </c>
    </row>
    <row r="679" spans="1:13" x14ac:dyDescent="0.25">
      <c r="D679" s="181">
        <v>3</v>
      </c>
      <c r="E679" s="182" t="s">
        <v>109</v>
      </c>
      <c r="F679" s="183">
        <v>12</v>
      </c>
      <c r="G679" s="184" t="s">
        <v>80</v>
      </c>
      <c r="H679" s="185" t="s">
        <v>5</v>
      </c>
      <c r="I679" s="37">
        <v>121</v>
      </c>
      <c r="J679" s="81">
        <f>IFERROR(VLOOKUP(I679,'[1]ABC Master Lists'!$B$2:$I$346,4,FALSE)," ")</f>
        <v>28</v>
      </c>
      <c r="K679" s="81">
        <f>IFERROR(VLOOKUP(I679,'[1]ABC Master Lists'!$B$2:$I$346,8,FALSE)," ")</f>
        <v>6</v>
      </c>
      <c r="L679" s="120" t="str">
        <f>IFERROR(VLOOKUP(J679,'[1]ABC Master Lists'!$AQ$2:$AS$12,3,FALSE)," ")</f>
        <v>+</v>
      </c>
      <c r="M679" s="120" t="str">
        <f>IFERROR(VLOOKUP(K679,'[1]ABC Master Lists'!$AD$2:$AE$22,2,FALSE), " ")</f>
        <v>+</v>
      </c>
    </row>
    <row r="680" spans="1:13" x14ac:dyDescent="0.25">
      <c r="D680" s="72">
        <v>4</v>
      </c>
      <c r="E680" s="73" t="s">
        <v>109</v>
      </c>
      <c r="F680" s="178">
        <v>16</v>
      </c>
      <c r="G680" s="74" t="s">
        <v>80</v>
      </c>
      <c r="H680" s="75" t="s">
        <v>5</v>
      </c>
      <c r="I680" s="36">
        <v>122</v>
      </c>
      <c r="J680" s="79">
        <f>IFERROR(VLOOKUP(I680,'[1]ABC Master Lists'!$B$2:$I$346,4,FALSE)," ")</f>
        <v>28</v>
      </c>
      <c r="K680" s="79">
        <f>IFERROR(VLOOKUP(I680,'[1]ABC Master Lists'!$B$2:$I$346,8,FALSE)," ")</f>
        <v>6</v>
      </c>
      <c r="L680" s="118" t="str">
        <f>IFERROR(VLOOKUP(J680,'[1]ABC Master Lists'!$AQ$2:$AS$12,3,FALSE)," ")</f>
        <v>+</v>
      </c>
      <c r="M680" s="118" t="str">
        <f>IFERROR(VLOOKUP(K680,'[1]ABC Master Lists'!$AD$2:$AE$22,2,FALSE), " ")</f>
        <v>+</v>
      </c>
    </row>
    <row r="681" spans="1:13" x14ac:dyDescent="0.25">
      <c r="D681" s="186">
        <v>5</v>
      </c>
      <c r="E681" s="187" t="s">
        <v>109</v>
      </c>
      <c r="F681" s="188">
        <v>8</v>
      </c>
      <c r="G681" s="189" t="s">
        <v>80</v>
      </c>
      <c r="H681" s="190" t="s">
        <v>5</v>
      </c>
      <c r="I681" s="38">
        <v>127</v>
      </c>
      <c r="J681" s="83">
        <f>IFERROR(VLOOKUP(I681,'[1]ABC Master Lists'!$B$2:$I$346,4,FALSE)," ")</f>
        <v>281</v>
      </c>
      <c r="K681" s="83">
        <f>IFERROR(VLOOKUP(I681,'[1]ABC Master Lists'!$B$2:$I$346,8,FALSE)," ")</f>
        <v>6</v>
      </c>
      <c r="L681" s="122" t="str">
        <f>IFERROR(VLOOKUP(J681,'[1]ABC Master Lists'!$AQ$2:$AS$12,3,FALSE)," ")</f>
        <v xml:space="preserve"> </v>
      </c>
      <c r="M681" s="122" t="str">
        <f>IFERROR(VLOOKUP(K681,'[1]ABC Master Lists'!$AD$2:$AE$22,2,FALSE), " ")</f>
        <v>+</v>
      </c>
    </row>
    <row r="682" spans="1:13" x14ac:dyDescent="0.25">
      <c r="D682" s="191"/>
      <c r="E682" s="192" t="s">
        <v>31</v>
      </c>
      <c r="F682" s="193">
        <v>6</v>
      </c>
      <c r="G682" s="194" t="s">
        <v>80</v>
      </c>
      <c r="H682" s="195" t="s">
        <v>5</v>
      </c>
      <c r="I682" s="39"/>
      <c r="J682" s="82" t="str">
        <f>IFERROR(VLOOKUP(I682,'[1]ABC Master Lists'!$B$2:$I$346,4,FALSE)," ")</f>
        <v xml:space="preserve"> </v>
      </c>
      <c r="K682" s="82" t="str">
        <f>IFERROR(VLOOKUP(I682,'[1]ABC Master Lists'!$B$2:$I$346,8,FALSE)," ")</f>
        <v xml:space="preserve"> </v>
      </c>
      <c r="L682" s="121" t="str">
        <f>IFERROR(VLOOKUP(J682,'[1]ABC Master Lists'!$AQ$2:$AS$12,3,FALSE)," ")</f>
        <v xml:space="preserve"> </v>
      </c>
      <c r="M682" s="121" t="str">
        <f>IFERROR(VLOOKUP(K682,'[1]ABC Master Lists'!$AD$2:$AE$22,2,FALSE), " ")</f>
        <v xml:space="preserve"> </v>
      </c>
    </row>
    <row r="683" spans="1:13" x14ac:dyDescent="0.25">
      <c r="D683" s="72">
        <v>6</v>
      </c>
      <c r="E683" s="73" t="s">
        <v>109</v>
      </c>
      <c r="F683" s="178">
        <v>8</v>
      </c>
      <c r="G683" s="74" t="s">
        <v>80</v>
      </c>
      <c r="H683" s="75" t="s">
        <v>5</v>
      </c>
      <c r="I683" s="36">
        <v>128</v>
      </c>
      <c r="J683" s="79">
        <f>IFERROR(VLOOKUP(I683,'[1]ABC Master Lists'!$B$2:$I$346,4,FALSE)," ")</f>
        <v>281</v>
      </c>
      <c r="K683" s="79">
        <f>IFERROR(VLOOKUP(I683,'[1]ABC Master Lists'!$B$2:$I$346,8,FALSE)," ")</f>
        <v>6</v>
      </c>
      <c r="L683" s="118" t="str">
        <f>IFERROR(VLOOKUP(J683,'[1]ABC Master Lists'!$AQ$2:$AS$12,3,FALSE)," ")</f>
        <v xml:space="preserve"> </v>
      </c>
      <c r="M683" s="118" t="str">
        <f>IFERROR(VLOOKUP(K683,'[1]ABC Master Lists'!$AD$2:$AE$22,2,FALSE), " ")</f>
        <v>+</v>
      </c>
    </row>
    <row r="684" spans="1:13" x14ac:dyDescent="0.25">
      <c r="D684" s="72"/>
      <c r="E684" s="73" t="s">
        <v>31</v>
      </c>
      <c r="F684" s="178">
        <v>10</v>
      </c>
      <c r="G684" s="74" t="s">
        <v>80</v>
      </c>
      <c r="H684" s="75" t="s">
        <v>5</v>
      </c>
      <c r="J684" s="79" t="str">
        <f>IFERROR(VLOOKUP(I684,'[1]ABC Master Lists'!$B$2:$I$346,4,FALSE)," ")</f>
        <v xml:space="preserve"> </v>
      </c>
      <c r="K684" s="79" t="str">
        <f>IFERROR(VLOOKUP(I684,'[1]ABC Master Lists'!$B$2:$I$346,8,FALSE)," ")</f>
        <v xml:space="preserve"> </v>
      </c>
      <c r="L684" s="118" t="str">
        <f>IFERROR(VLOOKUP(J684,'[1]ABC Master Lists'!$AQ$2:$AS$12,3,FALSE)," ")</f>
        <v xml:space="preserve"> </v>
      </c>
      <c r="M684" s="118" t="str">
        <f>IFERROR(VLOOKUP(K684,'[1]ABC Master Lists'!$AD$2:$AE$22,2,FALSE), " ")</f>
        <v xml:space="preserve"> </v>
      </c>
    </row>
    <row r="685" spans="1:13" x14ac:dyDescent="0.25">
      <c r="D685" s="186">
        <v>7</v>
      </c>
      <c r="E685" s="187" t="s">
        <v>109</v>
      </c>
      <c r="F685" s="188">
        <v>12</v>
      </c>
      <c r="G685" s="189" t="s">
        <v>80</v>
      </c>
      <c r="H685" s="190" t="s">
        <v>5</v>
      </c>
      <c r="I685" s="38">
        <v>129</v>
      </c>
      <c r="J685" s="83">
        <f>IFERROR(VLOOKUP(I685,'[1]ABC Master Lists'!$B$2:$I$346,4,FALSE)," ")</f>
        <v>281</v>
      </c>
      <c r="K685" s="83">
        <f>IFERROR(VLOOKUP(I685,'[1]ABC Master Lists'!$B$2:$I$346,8,FALSE)," ")</f>
        <v>6</v>
      </c>
      <c r="L685" s="122" t="str">
        <f>IFERROR(VLOOKUP(J685,'[1]ABC Master Lists'!$AQ$2:$AS$12,3,FALSE)," ")</f>
        <v xml:space="preserve"> </v>
      </c>
      <c r="M685" s="122" t="str">
        <f>IFERROR(VLOOKUP(K685,'[1]ABC Master Lists'!$AD$2:$AE$22,2,FALSE), " ")</f>
        <v>+</v>
      </c>
    </row>
    <row r="686" spans="1:13" x14ac:dyDescent="0.25">
      <c r="D686" s="191"/>
      <c r="E686" s="192" t="s">
        <v>31</v>
      </c>
      <c r="F686" s="193">
        <v>6</v>
      </c>
      <c r="G686" s="194" t="s">
        <v>80</v>
      </c>
      <c r="H686" s="195" t="s">
        <v>5</v>
      </c>
      <c r="I686" s="39"/>
      <c r="J686" s="82" t="str">
        <f>IFERROR(VLOOKUP(I686,'[1]ABC Master Lists'!$B$2:$I$346,4,FALSE)," ")</f>
        <v xml:space="preserve"> </v>
      </c>
      <c r="K686" s="82" t="str">
        <f>IFERROR(VLOOKUP(I686,'[1]ABC Master Lists'!$B$2:$I$346,8,FALSE)," ")</f>
        <v xml:space="preserve"> </v>
      </c>
      <c r="L686" s="121" t="str">
        <f>IFERROR(VLOOKUP(J686,'[1]ABC Master Lists'!$AQ$2:$AS$12,3,FALSE)," ")</f>
        <v xml:space="preserve"> </v>
      </c>
      <c r="M686" s="121" t="str">
        <f>IFERROR(VLOOKUP(K686,'[1]ABC Master Lists'!$AD$2:$AE$22,2,FALSE), " ")</f>
        <v xml:space="preserve"> </v>
      </c>
    </row>
    <row r="687" spans="1:13" x14ac:dyDescent="0.25">
      <c r="D687" s="72">
        <v>8</v>
      </c>
      <c r="E687" s="73" t="s">
        <v>109</v>
      </c>
      <c r="F687" s="178">
        <v>12</v>
      </c>
      <c r="G687" s="74" t="s">
        <v>80</v>
      </c>
      <c r="H687" s="75" t="s">
        <v>5</v>
      </c>
      <c r="I687" s="36">
        <v>130</v>
      </c>
      <c r="J687" s="79">
        <f>IFERROR(VLOOKUP(I687,'[1]ABC Master Lists'!$B$2:$I$346,4,FALSE)," ")</f>
        <v>281</v>
      </c>
      <c r="K687" s="79">
        <f>IFERROR(VLOOKUP(I687,'[1]ABC Master Lists'!$B$2:$I$346,8,FALSE)," ")</f>
        <v>6</v>
      </c>
      <c r="L687" s="118" t="str">
        <f>IFERROR(VLOOKUP(J687,'[1]ABC Master Lists'!$AQ$2:$AS$12,3,FALSE)," ")</f>
        <v xml:space="preserve"> </v>
      </c>
      <c r="M687" s="118" t="str">
        <f>IFERROR(VLOOKUP(K687,'[1]ABC Master Lists'!$AD$2:$AE$22,2,FALSE), " ")</f>
        <v>+</v>
      </c>
    </row>
    <row r="688" spans="1:13" x14ac:dyDescent="0.25">
      <c r="D688" s="72"/>
      <c r="E688" s="73" t="s">
        <v>31</v>
      </c>
      <c r="F688" s="178">
        <v>10</v>
      </c>
      <c r="G688" s="74" t="s">
        <v>80</v>
      </c>
      <c r="H688" s="75" t="s">
        <v>5</v>
      </c>
      <c r="J688" s="79" t="str">
        <f>IFERROR(VLOOKUP(I688,'[1]ABC Master Lists'!$B$2:$I$346,4,FALSE)," ")</f>
        <v xml:space="preserve"> </v>
      </c>
      <c r="K688" s="79" t="str">
        <f>IFERROR(VLOOKUP(I688,'[1]ABC Master Lists'!$B$2:$I$346,8,FALSE)," ")</f>
        <v xml:space="preserve"> </v>
      </c>
      <c r="L688" s="118" t="str">
        <f>IFERROR(VLOOKUP(J688,'[1]ABC Master Lists'!$AQ$2:$AS$12,3,FALSE)," ")</f>
        <v xml:space="preserve"> </v>
      </c>
      <c r="M688" s="118" t="str">
        <f>IFERROR(VLOOKUP(K688,'[1]ABC Master Lists'!$AD$2:$AE$22,2,FALSE), " ")</f>
        <v xml:space="preserve"> </v>
      </c>
    </row>
    <row r="689" spans="1:13" x14ac:dyDescent="0.25">
      <c r="D689" s="186">
        <v>9</v>
      </c>
      <c r="E689" s="187" t="s">
        <v>109</v>
      </c>
      <c r="F689" s="188">
        <v>16</v>
      </c>
      <c r="G689" s="189" t="s">
        <v>80</v>
      </c>
      <c r="H689" s="190" t="s">
        <v>5</v>
      </c>
      <c r="I689" s="38">
        <v>131</v>
      </c>
      <c r="J689" s="83">
        <f>IFERROR(VLOOKUP(I689,'[1]ABC Master Lists'!$B$2:$I$346,4,FALSE)," ")</f>
        <v>281</v>
      </c>
      <c r="K689" s="83">
        <f>IFERROR(VLOOKUP(I689,'[1]ABC Master Lists'!$B$2:$I$346,8,FALSE)," ")</f>
        <v>6</v>
      </c>
      <c r="L689" s="122" t="str">
        <f>IFERROR(VLOOKUP(J689,'[1]ABC Master Lists'!$AQ$2:$AS$12,3,FALSE)," ")</f>
        <v xml:space="preserve"> </v>
      </c>
      <c r="M689" s="122" t="str">
        <f>IFERROR(VLOOKUP(K689,'[1]ABC Master Lists'!$AD$2:$AE$22,2,FALSE), " ")</f>
        <v>+</v>
      </c>
    </row>
    <row r="690" spans="1:13" x14ac:dyDescent="0.25">
      <c r="D690" s="191"/>
      <c r="E690" s="192" t="s">
        <v>31</v>
      </c>
      <c r="F690" s="193">
        <v>6</v>
      </c>
      <c r="G690" s="194" t="s">
        <v>80</v>
      </c>
      <c r="H690" s="195" t="s">
        <v>5</v>
      </c>
      <c r="I690" s="39"/>
      <c r="J690" s="82" t="str">
        <f>IFERROR(VLOOKUP(I690,'[1]ABC Master Lists'!$B$2:$I$346,4,FALSE)," ")</f>
        <v xml:space="preserve"> </v>
      </c>
      <c r="K690" s="82" t="str">
        <f>IFERROR(VLOOKUP(I690,'[1]ABC Master Lists'!$B$2:$I$346,8,FALSE)," ")</f>
        <v xml:space="preserve"> </v>
      </c>
      <c r="L690" s="121" t="str">
        <f>IFERROR(VLOOKUP(J690,'[1]ABC Master Lists'!$AQ$2:$AS$12,3,FALSE)," ")</f>
        <v xml:space="preserve"> </v>
      </c>
      <c r="M690" s="121" t="str">
        <f>IFERROR(VLOOKUP(K690,'[1]ABC Master Lists'!$AD$2:$AE$22,2,FALSE), " ")</f>
        <v xml:space="preserve"> </v>
      </c>
    </row>
    <row r="691" spans="1:13" x14ac:dyDescent="0.25">
      <c r="D691" s="72">
        <v>10</v>
      </c>
      <c r="E691" s="73" t="s">
        <v>109</v>
      </c>
      <c r="F691" s="178">
        <v>16</v>
      </c>
      <c r="G691" s="74" t="s">
        <v>80</v>
      </c>
      <c r="H691" s="75" t="s">
        <v>5</v>
      </c>
      <c r="I691" s="36">
        <v>132</v>
      </c>
      <c r="J691" s="79">
        <f>IFERROR(VLOOKUP(I691,'[1]ABC Master Lists'!$B$2:$I$346,4,FALSE)," ")</f>
        <v>281</v>
      </c>
      <c r="K691" s="79">
        <f>IFERROR(VLOOKUP(I691,'[1]ABC Master Lists'!$B$2:$I$346,8,FALSE)," ")</f>
        <v>6</v>
      </c>
      <c r="L691" s="118" t="str">
        <f>IFERROR(VLOOKUP(J691,'[1]ABC Master Lists'!$AQ$2:$AS$12,3,FALSE)," ")</f>
        <v xml:space="preserve"> </v>
      </c>
      <c r="M691" s="118" t="str">
        <f>IFERROR(VLOOKUP(K691,'[1]ABC Master Lists'!$AD$2:$AE$22,2,FALSE), " ")</f>
        <v>+</v>
      </c>
    </row>
    <row r="692" spans="1:13" x14ac:dyDescent="0.25">
      <c r="D692" s="72"/>
      <c r="E692" s="73" t="s">
        <v>31</v>
      </c>
      <c r="F692" s="178">
        <v>10</v>
      </c>
      <c r="G692" s="74" t="s">
        <v>80</v>
      </c>
      <c r="H692" s="75" t="s">
        <v>5</v>
      </c>
      <c r="J692" s="79" t="str">
        <f>IFERROR(VLOOKUP(I692,'[1]ABC Master Lists'!$B$2:$I$346,4,FALSE)," ")</f>
        <v xml:space="preserve"> </v>
      </c>
      <c r="K692" s="79" t="str">
        <f>IFERROR(VLOOKUP(I692,'[1]ABC Master Lists'!$B$2:$I$346,8,FALSE)," ")</f>
        <v xml:space="preserve"> </v>
      </c>
      <c r="L692" s="118" t="str">
        <f>IFERROR(VLOOKUP(J692,'[1]ABC Master Lists'!$AQ$2:$AS$12,3,FALSE)," ")</f>
        <v xml:space="preserve"> </v>
      </c>
      <c r="M692" s="118" t="str">
        <f>IFERROR(VLOOKUP(K692,'[1]ABC Master Lists'!$AD$2:$AE$22,2,FALSE), " ")</f>
        <v xml:space="preserve"> </v>
      </c>
    </row>
    <row r="693" spans="1:13" x14ac:dyDescent="0.25">
      <c r="D693" s="181">
        <v>11</v>
      </c>
      <c r="E693" s="182" t="s">
        <v>31</v>
      </c>
      <c r="F693" s="183">
        <v>6</v>
      </c>
      <c r="G693" s="184" t="s">
        <v>80</v>
      </c>
      <c r="H693" s="185" t="s">
        <v>5</v>
      </c>
      <c r="I693" s="37">
        <v>179</v>
      </c>
      <c r="J693" s="81">
        <f>IFERROR(VLOOKUP(I693,'[1]ABC Master Lists'!$B$2:$I$346,4,FALSE)," ")</f>
        <v>1</v>
      </c>
      <c r="K693" s="81">
        <f>IFERROR(VLOOKUP(I693,'[1]ABC Master Lists'!$B$2:$I$346,8,FALSE)," ")</f>
        <v>6</v>
      </c>
      <c r="L693" s="120" t="str">
        <f>IFERROR(VLOOKUP(J693,'[1]ABC Master Lists'!$AQ$2:$AS$12,3,FALSE)," ")</f>
        <v xml:space="preserve"> </v>
      </c>
      <c r="M693" s="120" t="str">
        <f>IFERROR(VLOOKUP(K693,'[1]ABC Master Lists'!$AD$2:$AE$22,2,FALSE), " ")</f>
        <v>+</v>
      </c>
    </row>
    <row r="694" spans="1:13" x14ac:dyDescent="0.25">
      <c r="D694" s="72">
        <v>12</v>
      </c>
      <c r="E694" s="73" t="s">
        <v>31</v>
      </c>
      <c r="F694" s="178">
        <v>10</v>
      </c>
      <c r="G694" s="74" t="s">
        <v>80</v>
      </c>
      <c r="H694" s="75" t="s">
        <v>5</v>
      </c>
      <c r="I694" s="36">
        <v>181</v>
      </c>
      <c r="J694" s="79">
        <f>IFERROR(VLOOKUP(I694,'[1]ABC Master Lists'!$B$2:$I$346,4,FALSE)," ")</f>
        <v>1</v>
      </c>
      <c r="K694" s="79">
        <f>IFERROR(VLOOKUP(I694,'[1]ABC Master Lists'!$B$2:$I$346,8,FALSE)," ")</f>
        <v>6</v>
      </c>
      <c r="L694" s="118" t="str">
        <f>IFERROR(VLOOKUP(J694,'[1]ABC Master Lists'!$AQ$2:$AS$12,3,FALSE)," ")</f>
        <v xml:space="preserve"> </v>
      </c>
      <c r="M694" s="118" t="str">
        <f>IFERROR(VLOOKUP(K694,'[1]ABC Master Lists'!$AD$2:$AE$22,2,FALSE), " ")</f>
        <v>+</v>
      </c>
    </row>
    <row r="695" spans="1:13" x14ac:dyDescent="0.25">
      <c r="D695" s="181">
        <v>13</v>
      </c>
      <c r="E695" s="182" t="s">
        <v>28</v>
      </c>
      <c r="F695" s="183">
        <v>4</v>
      </c>
      <c r="G695" s="184" t="s">
        <v>80</v>
      </c>
      <c r="H695" s="185" t="s">
        <v>5</v>
      </c>
      <c r="I695" s="37">
        <v>199</v>
      </c>
      <c r="J695" s="81">
        <f>IFERROR(VLOOKUP(I695,'[1]ABC Master Lists'!$B$2:$I$346,4,FALSE)," ")</f>
        <v>2229</v>
      </c>
      <c r="K695" s="81">
        <f>IFERROR(VLOOKUP(I695,'[1]ABC Master Lists'!$B$2:$I$346,8,FALSE)," ")</f>
        <v>6</v>
      </c>
      <c r="L695" s="120" t="str">
        <f>IFERROR(VLOOKUP(J695,'[1]ABC Master Lists'!$AQ$2:$AS$12,3,FALSE)," ")</f>
        <v>+</v>
      </c>
      <c r="M695" s="120" t="str">
        <f>IFERROR(VLOOKUP(K695,'[1]ABC Master Lists'!$AD$2:$AE$22,2,FALSE), " ")</f>
        <v>+</v>
      </c>
    </row>
    <row r="696" spans="1:13" x14ac:dyDescent="0.25">
      <c r="D696" s="72">
        <v>14</v>
      </c>
      <c r="E696" s="73" t="s">
        <v>14</v>
      </c>
      <c r="F696" s="178">
        <v>8</v>
      </c>
      <c r="G696" s="74" t="s">
        <v>80</v>
      </c>
      <c r="H696" s="75" t="s">
        <v>5</v>
      </c>
      <c r="I696" s="36">
        <v>111</v>
      </c>
      <c r="J696" s="79">
        <f>IFERROR(VLOOKUP(I696,'[1]ABC Master Lists'!$B$2:$I$346,4,FALSE)," ")</f>
        <v>24</v>
      </c>
      <c r="K696" s="79">
        <f>IFERROR(VLOOKUP(I696,'[1]ABC Master Lists'!$B$2:$I$346,8,FALSE)," ")</f>
        <v>6</v>
      </c>
      <c r="L696" s="118" t="str">
        <f>IFERROR(VLOOKUP(J696,'[1]ABC Master Lists'!$AQ$2:$AS$12,3,FALSE)," ")</f>
        <v xml:space="preserve"> </v>
      </c>
      <c r="M696" s="118" t="str">
        <f>IFERROR(VLOOKUP(K696,'[1]ABC Master Lists'!$AD$2:$AE$22,2,FALSE), " ")</f>
        <v>+</v>
      </c>
    </row>
    <row r="697" spans="1:13" x14ac:dyDescent="0.25">
      <c r="D697" s="181">
        <v>15</v>
      </c>
      <c r="E697" s="182" t="s">
        <v>72</v>
      </c>
      <c r="F697" s="183">
        <v>10.5</v>
      </c>
      <c r="G697" s="184" t="s">
        <v>80</v>
      </c>
      <c r="H697" s="185" t="s">
        <v>5</v>
      </c>
      <c r="I697" s="37">
        <v>184</v>
      </c>
      <c r="J697" s="81">
        <f>IFERROR(VLOOKUP(I697,'[1]ABC Master Lists'!$B$2:$I$346,4,FALSE)," ")</f>
        <v>121</v>
      </c>
      <c r="K697" s="81">
        <f>IFERROR(VLOOKUP(I697,'[1]ABC Master Lists'!$B$2:$I$346,8,FALSE)," ")</f>
        <v>6</v>
      </c>
      <c r="L697" s="120" t="str">
        <f>IFERROR(VLOOKUP(J697,'[1]ABC Master Lists'!$AQ$2:$AS$12,3,FALSE)," ")</f>
        <v xml:space="preserve"> </v>
      </c>
      <c r="M697" s="120" t="str">
        <f>IFERROR(VLOOKUP(K697,'[1]ABC Master Lists'!$AD$2:$AE$22,2,FALSE), " ")</f>
        <v>+</v>
      </c>
    </row>
    <row r="698" spans="1:13" x14ac:dyDescent="0.25">
      <c r="D698" s="72">
        <v>16</v>
      </c>
      <c r="E698" s="73" t="s">
        <v>26</v>
      </c>
      <c r="F698" s="178">
        <v>12</v>
      </c>
      <c r="G698" s="74" t="s">
        <v>80</v>
      </c>
      <c r="H698" s="75" t="s">
        <v>5</v>
      </c>
      <c r="I698" s="36">
        <v>138</v>
      </c>
      <c r="J698" s="79">
        <f>IFERROR(VLOOKUP(I698,'[1]ABC Master Lists'!$B$2:$I$346,4,FALSE)," ")</f>
        <v>11</v>
      </c>
      <c r="K698" s="79">
        <f>IFERROR(VLOOKUP(I698,'[1]ABC Master Lists'!$B$2:$I$346,8,FALSE)," ")</f>
        <v>6</v>
      </c>
      <c r="L698" s="118" t="str">
        <f>IFERROR(VLOOKUP(J698,'[1]ABC Master Lists'!$AQ$2:$AS$12,3,FALSE)," ")</f>
        <v>+</v>
      </c>
      <c r="M698" s="118" t="str">
        <f>IFERROR(VLOOKUP(K698,'[1]ABC Master Lists'!$AD$2:$AE$22,2,FALSE), " ")</f>
        <v>+</v>
      </c>
    </row>
    <row r="699" spans="1:13" x14ac:dyDescent="0.25">
      <c r="D699" s="186">
        <v>17</v>
      </c>
      <c r="E699" s="187" t="s">
        <v>26</v>
      </c>
      <c r="F699" s="188">
        <v>12</v>
      </c>
      <c r="G699" s="189" t="s">
        <v>80</v>
      </c>
      <c r="H699" s="190" t="s">
        <v>5</v>
      </c>
      <c r="I699" s="38">
        <v>141</v>
      </c>
      <c r="J699" s="83">
        <f>IFERROR(VLOOKUP(I699,'[1]ABC Master Lists'!$B$2:$I$346,4,FALSE)," ")</f>
        <v>11</v>
      </c>
      <c r="K699" s="83">
        <f>IFERROR(VLOOKUP(I699,'[1]ABC Master Lists'!$B$2:$I$346,8,FALSE)," ")</f>
        <v>68</v>
      </c>
      <c r="L699" s="122" t="str">
        <f>IFERROR(VLOOKUP(J699,'[1]ABC Master Lists'!$AQ$2:$AS$12,3,FALSE)," ")</f>
        <v>+</v>
      </c>
      <c r="M699" s="122" t="str">
        <f>IFERROR(VLOOKUP(K699,'[1]ABC Master Lists'!$AD$2:$AE$22,2,FALSE), " ")</f>
        <v>+</v>
      </c>
    </row>
    <row r="700" spans="1:13" x14ac:dyDescent="0.25">
      <c r="A700" s="25"/>
      <c r="B700" s="25"/>
      <c r="C700" s="25"/>
      <c r="D700" s="191"/>
      <c r="E700" s="192" t="s">
        <v>26</v>
      </c>
      <c r="F700" s="193">
        <v>12</v>
      </c>
      <c r="G700" s="194" t="s">
        <v>80</v>
      </c>
      <c r="H700" s="195" t="s">
        <v>20</v>
      </c>
      <c r="I700" s="39"/>
      <c r="J700" s="82" t="str">
        <f>IFERROR(VLOOKUP(I700,'[1]ABC Master Lists'!$B$2:$I$346,4,FALSE)," ")</f>
        <v xml:space="preserve"> </v>
      </c>
      <c r="K700" s="82" t="str">
        <f>IFERROR(VLOOKUP(I700,'[1]ABC Master Lists'!$B$2:$I$346,8,FALSE)," ")</f>
        <v xml:space="preserve"> </v>
      </c>
      <c r="L700" s="121" t="str">
        <f>IFERROR(VLOOKUP(J700,'[1]ABC Master Lists'!$AQ$2:$AS$12,3,FALSE)," ")</f>
        <v xml:space="preserve"> </v>
      </c>
      <c r="M700" s="121" t="str">
        <f>IFERROR(VLOOKUP(K700,'[1]ABC Master Lists'!$AD$2:$AE$22,2,FALSE), " ")</f>
        <v xml:space="preserve"> </v>
      </c>
    </row>
    <row r="701" spans="1:13" x14ac:dyDescent="0.25">
      <c r="A701" s="24">
        <v>2014</v>
      </c>
      <c r="B701" s="24" t="s">
        <v>168</v>
      </c>
      <c r="C701" s="24">
        <v>14208</v>
      </c>
      <c r="D701" s="26">
        <v>1</v>
      </c>
      <c r="E701" s="51" t="s">
        <v>110</v>
      </c>
      <c r="F701" s="4" t="s">
        <v>2</v>
      </c>
      <c r="G701" s="71" t="s">
        <v>2</v>
      </c>
      <c r="H701" s="36" t="s">
        <v>2</v>
      </c>
      <c r="I701" s="36">
        <v>1</v>
      </c>
      <c r="J701" s="79" t="str">
        <f>IFERROR(VLOOKUP(I701,'[1]ABC Master Lists'!$B$2:$I$346,4,FALSE)," ")</f>
        <v>.</v>
      </c>
      <c r="K701" s="79" t="str">
        <f>IFERROR(VLOOKUP(I701,'[1]ABC Master Lists'!$B$2:$I$346,8,FALSE)," ")</f>
        <v>.</v>
      </c>
      <c r="L701" s="118" t="str">
        <f>IFERROR(VLOOKUP(J701,'[1]ABC Master Lists'!$AQ$2:$AS$12,3,FALSE)," ")</f>
        <v>+</v>
      </c>
      <c r="M701" s="118" t="str">
        <f>IFERROR(VLOOKUP(K701,'[1]ABC Master Lists'!$AD$2:$AE$22,2,FALSE), " ")</f>
        <v>+</v>
      </c>
    </row>
    <row r="702" spans="1:13" x14ac:dyDescent="0.25">
      <c r="D702" s="28">
        <v>2</v>
      </c>
      <c r="E702" s="197" t="s">
        <v>77</v>
      </c>
      <c r="F702" s="20">
        <v>42.573</v>
      </c>
      <c r="G702" s="198" t="s">
        <v>111</v>
      </c>
      <c r="H702" s="44" t="s">
        <v>5</v>
      </c>
      <c r="I702" s="38">
        <v>169</v>
      </c>
      <c r="J702" s="83">
        <f>IFERROR(VLOOKUP(I702,'[1]ABC Master Lists'!$B$2:$I$346,4,FALSE)," ")</f>
        <v>2229</v>
      </c>
      <c r="K702" s="83">
        <f>IFERROR(VLOOKUP(I702,'[1]ABC Master Lists'!$B$2:$I$346,8,FALSE)," ")</f>
        <v>68</v>
      </c>
      <c r="L702" s="122" t="str">
        <f>IFERROR(VLOOKUP(J702,'[1]ABC Master Lists'!$AQ$2:$AS$12,3,FALSE)," ")</f>
        <v>+</v>
      </c>
      <c r="M702" s="122" t="str">
        <f>IFERROR(VLOOKUP(K702,'[1]ABC Master Lists'!$AD$2:$AE$22,2,FALSE), " ")</f>
        <v>+</v>
      </c>
    </row>
    <row r="703" spans="1:13" x14ac:dyDescent="0.25">
      <c r="E703" s="51" t="s">
        <v>28</v>
      </c>
      <c r="F703" s="4">
        <v>5</v>
      </c>
      <c r="G703" s="76" t="s">
        <v>80</v>
      </c>
      <c r="H703" s="41" t="s">
        <v>20</v>
      </c>
      <c r="J703" s="79" t="str">
        <f>IFERROR(VLOOKUP(I703,'[1]ABC Master Lists'!$B$2:$I$346,4,FALSE)," ")</f>
        <v xml:space="preserve"> </v>
      </c>
      <c r="K703" s="79" t="str">
        <f>IFERROR(VLOOKUP(I703,'[1]ABC Master Lists'!$B$2:$I$346,8,FALSE)," ")</f>
        <v xml:space="preserve"> </v>
      </c>
      <c r="L703" s="118" t="str">
        <f>IFERROR(VLOOKUP(J703,'[1]ABC Master Lists'!$AQ$2:$AS$12,3,FALSE)," ")</f>
        <v xml:space="preserve"> </v>
      </c>
      <c r="M703" s="118" t="str">
        <f>IFERROR(VLOOKUP(K703,'[1]ABC Master Lists'!$AD$2:$AE$22,2,FALSE), " ")</f>
        <v xml:space="preserve"> </v>
      </c>
    </row>
    <row r="704" spans="1:13" x14ac:dyDescent="0.25">
      <c r="D704" s="29"/>
      <c r="E704" s="100" t="s">
        <v>112</v>
      </c>
      <c r="F704" s="23">
        <v>0.25</v>
      </c>
      <c r="G704" s="199" t="s">
        <v>54</v>
      </c>
      <c r="H704" s="47" t="s">
        <v>20</v>
      </c>
      <c r="I704" s="39"/>
      <c r="J704" s="82" t="str">
        <f>IFERROR(VLOOKUP(I704,'[1]ABC Master Lists'!$B$2:$I$346,4,FALSE)," ")</f>
        <v xml:space="preserve"> </v>
      </c>
      <c r="K704" s="82" t="str">
        <f>IFERROR(VLOOKUP(I704,'[1]ABC Master Lists'!$B$2:$I$346,8,FALSE)," ")</f>
        <v xml:space="preserve"> </v>
      </c>
      <c r="L704" s="121" t="str">
        <f>IFERROR(VLOOKUP(J704,'[1]ABC Master Lists'!$AQ$2:$AS$12,3,FALSE)," ")</f>
        <v xml:space="preserve"> </v>
      </c>
      <c r="M704" s="121" t="str">
        <f>IFERROR(VLOOKUP(K704,'[1]ABC Master Lists'!$AD$2:$AE$22,2,FALSE), " ")</f>
        <v xml:space="preserve"> </v>
      </c>
    </row>
    <row r="705" spans="4:13" x14ac:dyDescent="0.25">
      <c r="D705" s="26">
        <v>3</v>
      </c>
      <c r="E705" s="51" t="s">
        <v>77</v>
      </c>
      <c r="F705" s="4">
        <v>70.98</v>
      </c>
      <c r="G705" s="76" t="s">
        <v>111</v>
      </c>
      <c r="H705" s="41" t="s">
        <v>5</v>
      </c>
      <c r="I705" s="36">
        <v>170</v>
      </c>
      <c r="J705" s="79">
        <f>IFERROR(VLOOKUP(I705,'[1]ABC Master Lists'!$B$2:$I$346,4,FALSE)," ")</f>
        <v>2229</v>
      </c>
      <c r="K705" s="79">
        <f>IFERROR(VLOOKUP(I705,'[1]ABC Master Lists'!$B$2:$I$346,8,FALSE)," ")</f>
        <v>68</v>
      </c>
      <c r="L705" s="118" t="str">
        <f>IFERROR(VLOOKUP(J705,'[1]ABC Master Lists'!$AQ$2:$AS$12,3,FALSE)," ")</f>
        <v>+</v>
      </c>
      <c r="M705" s="118" t="str">
        <f>IFERROR(VLOOKUP(K705,'[1]ABC Master Lists'!$AD$2:$AE$22,2,FALSE), " ")</f>
        <v>+</v>
      </c>
    </row>
    <row r="706" spans="4:13" x14ac:dyDescent="0.25">
      <c r="E706" s="51" t="s">
        <v>28</v>
      </c>
      <c r="F706" s="4">
        <v>5</v>
      </c>
      <c r="G706" s="76" t="s">
        <v>80</v>
      </c>
      <c r="H706" s="41" t="s">
        <v>20</v>
      </c>
      <c r="J706" s="79" t="str">
        <f>IFERROR(VLOOKUP(I706,'[1]ABC Master Lists'!$B$2:$I$346,4,FALSE)," ")</f>
        <v xml:space="preserve"> </v>
      </c>
      <c r="K706" s="79" t="str">
        <f>IFERROR(VLOOKUP(I706,'[1]ABC Master Lists'!$B$2:$I$346,8,FALSE)," ")</f>
        <v xml:space="preserve"> </v>
      </c>
      <c r="L706" s="118" t="str">
        <f>IFERROR(VLOOKUP(J706,'[1]ABC Master Lists'!$AQ$2:$AS$12,3,FALSE)," ")</f>
        <v xml:space="preserve"> </v>
      </c>
      <c r="M706" s="118" t="str">
        <f>IFERROR(VLOOKUP(K706,'[1]ABC Master Lists'!$AD$2:$AE$22,2,FALSE), " ")</f>
        <v xml:space="preserve"> </v>
      </c>
    </row>
    <row r="707" spans="4:13" x14ac:dyDescent="0.25">
      <c r="E707" s="51" t="s">
        <v>112</v>
      </c>
      <c r="F707" s="4">
        <v>0.25</v>
      </c>
      <c r="G707" s="76" t="s">
        <v>54</v>
      </c>
      <c r="H707" s="41" t="s">
        <v>20</v>
      </c>
      <c r="J707" s="79" t="str">
        <f>IFERROR(VLOOKUP(I707,'[1]ABC Master Lists'!$B$2:$I$346,4,FALSE)," ")</f>
        <v xml:space="preserve"> </v>
      </c>
      <c r="K707" s="79" t="str">
        <f>IFERROR(VLOOKUP(I707,'[1]ABC Master Lists'!$B$2:$I$346,8,FALSE)," ")</f>
        <v xml:space="preserve"> </v>
      </c>
      <c r="L707" s="118" t="str">
        <f>IFERROR(VLOOKUP(J707,'[1]ABC Master Lists'!$AQ$2:$AS$12,3,FALSE)," ")</f>
        <v xml:space="preserve"> </v>
      </c>
      <c r="M707" s="118" t="str">
        <f>IFERROR(VLOOKUP(K707,'[1]ABC Master Lists'!$AD$2:$AE$22,2,FALSE), " ")</f>
        <v xml:space="preserve"> </v>
      </c>
    </row>
    <row r="708" spans="4:13" x14ac:dyDescent="0.25">
      <c r="D708" s="28">
        <v>4</v>
      </c>
      <c r="E708" s="197" t="s">
        <v>10</v>
      </c>
      <c r="F708" s="20">
        <v>6</v>
      </c>
      <c r="G708" s="198" t="s">
        <v>46</v>
      </c>
      <c r="H708" s="44" t="s">
        <v>5</v>
      </c>
      <c r="I708" s="38">
        <v>87</v>
      </c>
      <c r="J708" s="83">
        <f>IFERROR(VLOOKUP(I708,'[1]ABC Master Lists'!$B$2:$I$346,4,FALSE)," ")</f>
        <v>4</v>
      </c>
      <c r="K708" s="83">
        <f>IFERROR(VLOOKUP(I708,'[1]ABC Master Lists'!$B$2:$I$346,8,FALSE)," ")</f>
        <v>6</v>
      </c>
      <c r="L708" s="122" t="str">
        <f>IFERROR(VLOOKUP(J708,'[1]ABC Master Lists'!$AQ$2:$AS$12,3,FALSE)," ")</f>
        <v>+</v>
      </c>
      <c r="M708" s="122" t="str">
        <f>IFERROR(VLOOKUP(K708,'[1]ABC Master Lists'!$AD$2:$AE$22,2,FALSE), " ")</f>
        <v>+</v>
      </c>
    </row>
    <row r="709" spans="4:13" x14ac:dyDescent="0.25">
      <c r="D709" s="29"/>
      <c r="E709" s="100" t="s">
        <v>112</v>
      </c>
      <c r="F709" s="23">
        <v>0.25</v>
      </c>
      <c r="G709" s="199" t="s">
        <v>54</v>
      </c>
      <c r="H709" s="47" t="s">
        <v>5</v>
      </c>
      <c r="I709" s="39"/>
      <c r="J709" s="82" t="str">
        <f>IFERROR(VLOOKUP(I709,'[1]ABC Master Lists'!$B$2:$I$346,4,FALSE)," ")</f>
        <v xml:space="preserve"> </v>
      </c>
      <c r="K709" s="82" t="str">
        <f>IFERROR(VLOOKUP(I709,'[1]ABC Master Lists'!$B$2:$I$346,8,FALSE)," ")</f>
        <v xml:space="preserve"> </v>
      </c>
      <c r="L709" s="121" t="str">
        <f>IFERROR(VLOOKUP(J709,'[1]ABC Master Lists'!$AQ$2:$AS$12,3,FALSE)," ")</f>
        <v xml:space="preserve"> </v>
      </c>
      <c r="M709" s="121" t="str">
        <f>IFERROR(VLOOKUP(K709,'[1]ABC Master Lists'!$AD$2:$AE$22,2,FALSE), " ")</f>
        <v xml:space="preserve"> </v>
      </c>
    </row>
    <row r="710" spans="4:13" x14ac:dyDescent="0.25">
      <c r="D710" s="26">
        <v>5</v>
      </c>
      <c r="E710" s="51" t="s">
        <v>10</v>
      </c>
      <c r="F710" s="4">
        <v>8</v>
      </c>
      <c r="G710" s="76" t="s">
        <v>46</v>
      </c>
      <c r="H710" s="41" t="s">
        <v>5</v>
      </c>
      <c r="I710" s="36">
        <v>90</v>
      </c>
      <c r="J710" s="79">
        <f>IFERROR(VLOOKUP(I710,'[1]ABC Master Lists'!$B$2:$I$346,4,FALSE)," ")</f>
        <v>4</v>
      </c>
      <c r="K710" s="79">
        <f>IFERROR(VLOOKUP(I710,'[1]ABC Master Lists'!$B$2:$I$346,8,FALSE)," ")</f>
        <v>6</v>
      </c>
      <c r="L710" s="118" t="str">
        <f>IFERROR(VLOOKUP(J710,'[1]ABC Master Lists'!$AQ$2:$AS$12,3,FALSE)," ")</f>
        <v>+</v>
      </c>
      <c r="M710" s="118" t="str">
        <f>IFERROR(VLOOKUP(K710,'[1]ABC Master Lists'!$AD$2:$AE$22,2,FALSE), " ")</f>
        <v>+</v>
      </c>
    </row>
    <row r="711" spans="4:13" x14ac:dyDescent="0.25">
      <c r="E711" s="51" t="s">
        <v>112</v>
      </c>
      <c r="F711" s="4">
        <v>0.25</v>
      </c>
      <c r="G711" s="76" t="s">
        <v>54</v>
      </c>
      <c r="H711" s="41" t="s">
        <v>5</v>
      </c>
      <c r="J711" s="79" t="str">
        <f>IFERROR(VLOOKUP(I711,'[1]ABC Master Lists'!$B$2:$I$346,4,FALSE)," ")</f>
        <v xml:space="preserve"> </v>
      </c>
      <c r="K711" s="79" t="str">
        <f>IFERROR(VLOOKUP(I711,'[1]ABC Master Lists'!$B$2:$I$346,8,FALSE)," ")</f>
        <v xml:space="preserve"> </v>
      </c>
      <c r="L711" s="118" t="str">
        <f>IFERROR(VLOOKUP(J711,'[1]ABC Master Lists'!$AQ$2:$AS$12,3,FALSE)," ")</f>
        <v xml:space="preserve"> </v>
      </c>
      <c r="M711" s="118" t="str">
        <f>IFERROR(VLOOKUP(K711,'[1]ABC Master Lists'!$AD$2:$AE$22,2,FALSE), " ")</f>
        <v xml:space="preserve"> </v>
      </c>
    </row>
    <row r="712" spans="4:13" x14ac:dyDescent="0.25">
      <c r="D712" s="28">
        <v>6</v>
      </c>
      <c r="E712" s="197" t="s">
        <v>18</v>
      </c>
      <c r="F712" s="20">
        <v>6</v>
      </c>
      <c r="G712" s="198" t="s">
        <v>80</v>
      </c>
      <c r="H712" s="44" t="s">
        <v>5</v>
      </c>
      <c r="I712" s="38">
        <v>65</v>
      </c>
      <c r="J712" s="83">
        <f>IFERROR(VLOOKUP(I712,'[1]ABC Master Lists'!$B$2:$I$346,4,FALSE)," ")</f>
        <v>184</v>
      </c>
      <c r="K712" s="83">
        <f>IFERROR(VLOOKUP(I712,'[1]ABC Master Lists'!$B$2:$I$346,8,FALSE)," ")</f>
        <v>6</v>
      </c>
      <c r="L712" s="122" t="str">
        <f>IFERROR(VLOOKUP(J712,'[1]ABC Master Lists'!$AQ$2:$AS$12,3,FALSE)," ")</f>
        <v xml:space="preserve"> </v>
      </c>
      <c r="M712" s="122" t="str">
        <f>IFERROR(VLOOKUP(K712,'[1]ABC Master Lists'!$AD$2:$AE$22,2,FALSE), " ")</f>
        <v>+</v>
      </c>
    </row>
    <row r="713" spans="4:13" x14ac:dyDescent="0.25">
      <c r="E713" s="51" t="s">
        <v>10</v>
      </c>
      <c r="F713" s="4">
        <v>8</v>
      </c>
      <c r="G713" s="76" t="s">
        <v>46</v>
      </c>
      <c r="H713" s="41" t="s">
        <v>5</v>
      </c>
      <c r="J713" s="79" t="str">
        <f>IFERROR(VLOOKUP(I713,'[1]ABC Master Lists'!$B$2:$I$346,4,FALSE)," ")</f>
        <v xml:space="preserve"> </v>
      </c>
      <c r="K713" s="79" t="str">
        <f>IFERROR(VLOOKUP(I713,'[1]ABC Master Lists'!$B$2:$I$346,8,FALSE)," ")</f>
        <v xml:space="preserve"> </v>
      </c>
      <c r="L713" s="118" t="str">
        <f>IFERROR(VLOOKUP(J713,'[1]ABC Master Lists'!$AQ$2:$AS$12,3,FALSE)," ")</f>
        <v xml:space="preserve"> </v>
      </c>
      <c r="M713" s="118" t="str">
        <f>IFERROR(VLOOKUP(K713,'[1]ABC Master Lists'!$AD$2:$AE$22,2,FALSE), " ")</f>
        <v xml:space="preserve"> </v>
      </c>
    </row>
    <row r="714" spans="4:13" x14ac:dyDescent="0.25">
      <c r="D714" s="29"/>
      <c r="E714" s="100" t="s">
        <v>19</v>
      </c>
      <c r="F714" s="23">
        <v>1</v>
      </c>
      <c r="G714" s="199" t="s">
        <v>54</v>
      </c>
      <c r="H714" s="47" t="s">
        <v>5</v>
      </c>
      <c r="I714" s="39"/>
      <c r="J714" s="82" t="str">
        <f>IFERROR(VLOOKUP(I714,'[1]ABC Master Lists'!$B$2:$I$346,4,FALSE)," ")</f>
        <v xml:space="preserve"> </v>
      </c>
      <c r="K714" s="82" t="str">
        <f>IFERROR(VLOOKUP(I714,'[1]ABC Master Lists'!$B$2:$I$346,8,FALSE)," ")</f>
        <v xml:space="preserve"> </v>
      </c>
      <c r="L714" s="121" t="str">
        <f>IFERROR(VLOOKUP(J714,'[1]ABC Master Lists'!$AQ$2:$AS$12,3,FALSE)," ")</f>
        <v xml:space="preserve"> </v>
      </c>
      <c r="M714" s="121" t="str">
        <f>IFERROR(VLOOKUP(K714,'[1]ABC Master Lists'!$AD$2:$AE$22,2,FALSE), " ")</f>
        <v xml:space="preserve"> </v>
      </c>
    </row>
    <row r="715" spans="4:13" x14ac:dyDescent="0.25">
      <c r="D715" s="26">
        <v>7</v>
      </c>
      <c r="E715" s="51" t="s">
        <v>18</v>
      </c>
      <c r="F715" s="4">
        <v>6</v>
      </c>
      <c r="G715" s="76" t="s">
        <v>80</v>
      </c>
      <c r="H715" s="41" t="s">
        <v>5</v>
      </c>
      <c r="I715" s="36">
        <v>52</v>
      </c>
      <c r="J715" s="79">
        <f>IFERROR(VLOOKUP(I715,'[1]ABC Master Lists'!$B$2:$I$346,4,FALSE)," ")</f>
        <v>18</v>
      </c>
      <c r="K715" s="79">
        <f>IFERROR(VLOOKUP(I715,'[1]ABC Master Lists'!$B$2:$I$346,8,FALSE)," ")</f>
        <v>6</v>
      </c>
      <c r="L715" s="118" t="str">
        <f>IFERROR(VLOOKUP(J715,'[1]ABC Master Lists'!$AQ$2:$AS$12,3,FALSE)," ")</f>
        <v>+</v>
      </c>
      <c r="M715" s="118" t="str">
        <f>IFERROR(VLOOKUP(K715,'[1]ABC Master Lists'!$AD$2:$AE$22,2,FALSE), " ")</f>
        <v>+</v>
      </c>
    </row>
    <row r="716" spans="4:13" x14ac:dyDescent="0.25">
      <c r="E716" s="51" t="s">
        <v>19</v>
      </c>
      <c r="F716" s="4">
        <v>1</v>
      </c>
      <c r="G716" s="76" t="s">
        <v>54</v>
      </c>
      <c r="H716" s="41" t="s">
        <v>5</v>
      </c>
      <c r="J716" s="79" t="str">
        <f>IFERROR(VLOOKUP(I716,'[1]ABC Master Lists'!$B$2:$I$346,4,FALSE)," ")</f>
        <v xml:space="preserve"> </v>
      </c>
      <c r="K716" s="79" t="str">
        <f>IFERROR(VLOOKUP(I716,'[1]ABC Master Lists'!$B$2:$I$346,8,FALSE)," ")</f>
        <v xml:space="preserve"> </v>
      </c>
      <c r="L716" s="118" t="str">
        <f>IFERROR(VLOOKUP(J716,'[1]ABC Master Lists'!$AQ$2:$AS$12,3,FALSE)," ")</f>
        <v xml:space="preserve"> </v>
      </c>
      <c r="M716" s="118" t="str">
        <f>IFERROR(VLOOKUP(K716,'[1]ABC Master Lists'!$AD$2:$AE$22,2,FALSE), " ")</f>
        <v xml:space="preserve"> </v>
      </c>
    </row>
    <row r="717" spans="4:13" x14ac:dyDescent="0.25">
      <c r="D717" s="28">
        <v>8</v>
      </c>
      <c r="E717" s="197" t="s">
        <v>10</v>
      </c>
      <c r="F717" s="20">
        <v>6</v>
      </c>
      <c r="G717" s="198" t="s">
        <v>46</v>
      </c>
      <c r="H717" s="44" t="s">
        <v>5</v>
      </c>
      <c r="I717" s="38">
        <v>101</v>
      </c>
      <c r="J717" s="83">
        <f>IFERROR(VLOOKUP(I717,'[1]ABC Master Lists'!$B$2:$I$346,4,FALSE)," ")</f>
        <v>41624</v>
      </c>
      <c r="K717" s="83">
        <f>IFERROR(VLOOKUP(I717,'[1]ABC Master Lists'!$B$2:$I$346,8,FALSE)," ")</f>
        <v>6</v>
      </c>
      <c r="L717" s="122" t="str">
        <f>IFERROR(VLOOKUP(J717,'[1]ABC Master Lists'!$AQ$2:$AS$12,3,FALSE)," ")</f>
        <v>+</v>
      </c>
      <c r="M717" s="122" t="str">
        <f>IFERROR(VLOOKUP(K717,'[1]ABC Master Lists'!$AD$2:$AE$22,2,FALSE), " ")</f>
        <v>+</v>
      </c>
    </row>
    <row r="718" spans="4:13" x14ac:dyDescent="0.25">
      <c r="E718" s="51" t="s">
        <v>44</v>
      </c>
      <c r="F718" s="4">
        <v>4</v>
      </c>
      <c r="G718" s="76" t="s">
        <v>80</v>
      </c>
      <c r="H718" s="41" t="s">
        <v>5</v>
      </c>
      <c r="J718" s="79" t="str">
        <f>IFERROR(VLOOKUP(I718,'[1]ABC Master Lists'!$B$2:$I$346,4,FALSE)," ")</f>
        <v xml:space="preserve"> </v>
      </c>
      <c r="K718" s="79" t="str">
        <f>IFERROR(VLOOKUP(I718,'[1]ABC Master Lists'!$B$2:$I$346,8,FALSE)," ")</f>
        <v xml:space="preserve"> </v>
      </c>
      <c r="L718" s="118" t="str">
        <f>IFERROR(VLOOKUP(J718,'[1]ABC Master Lists'!$AQ$2:$AS$12,3,FALSE)," ")</f>
        <v xml:space="preserve"> </v>
      </c>
      <c r="M718" s="118" t="str">
        <f>IFERROR(VLOOKUP(K718,'[1]ABC Master Lists'!$AD$2:$AE$22,2,FALSE), " ")</f>
        <v xml:space="preserve"> </v>
      </c>
    </row>
    <row r="719" spans="4:13" x14ac:dyDescent="0.25">
      <c r="D719" s="29"/>
      <c r="E719" s="100" t="s">
        <v>112</v>
      </c>
      <c r="F719" s="23">
        <v>0.25</v>
      </c>
      <c r="G719" s="199" t="s">
        <v>54</v>
      </c>
      <c r="H719" s="47" t="s">
        <v>5</v>
      </c>
      <c r="I719" s="39"/>
      <c r="J719" s="82" t="str">
        <f>IFERROR(VLOOKUP(I719,'[1]ABC Master Lists'!$B$2:$I$346,4,FALSE)," ")</f>
        <v xml:space="preserve"> </v>
      </c>
      <c r="K719" s="82" t="str">
        <f>IFERROR(VLOOKUP(I719,'[1]ABC Master Lists'!$B$2:$I$346,8,FALSE)," ")</f>
        <v xml:space="preserve"> </v>
      </c>
      <c r="L719" s="121" t="str">
        <f>IFERROR(VLOOKUP(J719,'[1]ABC Master Lists'!$AQ$2:$AS$12,3,FALSE)," ")</f>
        <v xml:space="preserve"> </v>
      </c>
      <c r="M719" s="121" t="str">
        <f>IFERROR(VLOOKUP(K719,'[1]ABC Master Lists'!$AD$2:$AE$22,2,FALSE), " ")</f>
        <v xml:space="preserve"> </v>
      </c>
    </row>
    <row r="720" spans="4:13" x14ac:dyDescent="0.25">
      <c r="D720" s="26">
        <v>9</v>
      </c>
      <c r="E720" s="51" t="s">
        <v>10</v>
      </c>
      <c r="F720" s="4">
        <v>6</v>
      </c>
      <c r="G720" s="76" t="s">
        <v>46</v>
      </c>
      <c r="H720" s="41" t="s">
        <v>5</v>
      </c>
      <c r="I720" s="36">
        <v>102</v>
      </c>
      <c r="J720" s="79">
        <f>IFERROR(VLOOKUP(I720,'[1]ABC Master Lists'!$B$2:$I$346,4,FALSE)," ")</f>
        <v>41624</v>
      </c>
      <c r="K720" s="79">
        <f>IFERROR(VLOOKUP(I720,'[1]ABC Master Lists'!$B$2:$I$346,8,FALSE)," ")</f>
        <v>68</v>
      </c>
      <c r="L720" s="118" t="str">
        <f>IFERROR(VLOOKUP(J720,'[1]ABC Master Lists'!$AQ$2:$AS$12,3,FALSE)," ")</f>
        <v>+</v>
      </c>
      <c r="M720" s="118" t="str">
        <f>IFERROR(VLOOKUP(K720,'[1]ABC Master Lists'!$AD$2:$AE$22,2,FALSE), " ")</f>
        <v>+</v>
      </c>
    </row>
    <row r="721" spans="4:13" x14ac:dyDescent="0.25">
      <c r="E721" s="51" t="s">
        <v>112</v>
      </c>
      <c r="F721" s="4">
        <v>0.25</v>
      </c>
      <c r="G721" s="76" t="s">
        <v>54</v>
      </c>
      <c r="H721" s="41" t="s">
        <v>5</v>
      </c>
      <c r="J721" s="79" t="str">
        <f>IFERROR(VLOOKUP(I721,'[1]ABC Master Lists'!$B$2:$I$346,4,FALSE)," ")</f>
        <v xml:space="preserve"> </v>
      </c>
      <c r="K721" s="79" t="str">
        <f>IFERROR(VLOOKUP(I721,'[1]ABC Master Lists'!$B$2:$I$346,8,FALSE)," ")</f>
        <v xml:space="preserve"> </v>
      </c>
      <c r="L721" s="118" t="str">
        <f>IFERROR(VLOOKUP(J721,'[1]ABC Master Lists'!$AQ$2:$AS$12,3,FALSE)," ")</f>
        <v xml:space="preserve"> </v>
      </c>
      <c r="M721" s="118" t="str">
        <f>IFERROR(VLOOKUP(K721,'[1]ABC Master Lists'!$AD$2:$AE$22,2,FALSE), " ")</f>
        <v xml:space="preserve"> </v>
      </c>
    </row>
    <row r="722" spans="4:13" x14ac:dyDescent="0.25">
      <c r="E722" s="51" t="s">
        <v>44</v>
      </c>
      <c r="F722" s="4">
        <v>4</v>
      </c>
      <c r="G722" s="76" t="s">
        <v>80</v>
      </c>
      <c r="H722" s="41" t="s">
        <v>20</v>
      </c>
      <c r="J722" s="79" t="str">
        <f>IFERROR(VLOOKUP(I722,'[1]ABC Master Lists'!$B$2:$I$346,4,FALSE)," ")</f>
        <v xml:space="preserve"> </v>
      </c>
      <c r="K722" s="79" t="str">
        <f>IFERROR(VLOOKUP(I722,'[1]ABC Master Lists'!$B$2:$I$346,8,FALSE)," ")</f>
        <v xml:space="preserve"> </v>
      </c>
      <c r="L722" s="118" t="str">
        <f>IFERROR(VLOOKUP(J722,'[1]ABC Master Lists'!$AQ$2:$AS$12,3,FALSE)," ")</f>
        <v xml:space="preserve"> </v>
      </c>
      <c r="M722" s="118" t="str">
        <f>IFERROR(VLOOKUP(K722,'[1]ABC Master Lists'!$AD$2:$AE$22,2,FALSE), " ")</f>
        <v xml:space="preserve"> </v>
      </c>
    </row>
    <row r="723" spans="4:13" x14ac:dyDescent="0.25">
      <c r="E723" s="51" t="s">
        <v>112</v>
      </c>
      <c r="F723" s="4">
        <v>0.25</v>
      </c>
      <c r="G723" s="76" t="s">
        <v>54</v>
      </c>
      <c r="H723" s="41" t="s">
        <v>20</v>
      </c>
      <c r="J723" s="79" t="str">
        <f>IFERROR(VLOOKUP(I723,'[1]ABC Master Lists'!$B$2:$I$346,4,FALSE)," ")</f>
        <v xml:space="preserve"> </v>
      </c>
      <c r="K723" s="79" t="str">
        <f>IFERROR(VLOOKUP(I723,'[1]ABC Master Lists'!$B$2:$I$346,8,FALSE)," ")</f>
        <v xml:space="preserve"> </v>
      </c>
      <c r="L723" s="118" t="str">
        <f>IFERROR(VLOOKUP(J723,'[1]ABC Master Lists'!$AQ$2:$AS$12,3,FALSE)," ")</f>
        <v xml:space="preserve"> </v>
      </c>
      <c r="M723" s="118" t="str">
        <f>IFERROR(VLOOKUP(K723,'[1]ABC Master Lists'!$AD$2:$AE$22,2,FALSE), " ")</f>
        <v xml:space="preserve"> </v>
      </c>
    </row>
    <row r="724" spans="4:13" x14ac:dyDescent="0.25">
      <c r="D724" s="28">
        <v>10</v>
      </c>
      <c r="E724" s="197" t="s">
        <v>68</v>
      </c>
      <c r="F724" s="20">
        <v>0.75</v>
      </c>
      <c r="G724" s="198" t="s">
        <v>61</v>
      </c>
      <c r="H724" s="44" t="s">
        <v>5</v>
      </c>
      <c r="I724" s="38">
        <v>138</v>
      </c>
      <c r="J724" s="83">
        <f>IFERROR(VLOOKUP(I724,'[1]ABC Master Lists'!$B$2:$I$346,4,FALSE)," ")</f>
        <v>11</v>
      </c>
      <c r="K724" s="83">
        <f>IFERROR(VLOOKUP(I724,'[1]ABC Master Lists'!$B$2:$I$346,8,FALSE)," ")</f>
        <v>6</v>
      </c>
      <c r="L724" s="122" t="str">
        <f>IFERROR(VLOOKUP(J724,'[1]ABC Master Lists'!$AQ$2:$AS$12,3,FALSE)," ")</f>
        <v>+</v>
      </c>
      <c r="M724" s="122" t="str">
        <f>IFERROR(VLOOKUP(K724,'[1]ABC Master Lists'!$AD$2:$AE$22,2,FALSE), " ")</f>
        <v>+</v>
      </c>
    </row>
    <row r="725" spans="4:13" x14ac:dyDescent="0.25">
      <c r="D725" s="29"/>
      <c r="E725" s="100" t="s">
        <v>112</v>
      </c>
      <c r="F725" s="23">
        <v>0.25</v>
      </c>
      <c r="G725" s="199" t="s">
        <v>54</v>
      </c>
      <c r="H725" s="47" t="s">
        <v>5</v>
      </c>
      <c r="I725" s="39"/>
      <c r="J725" s="82" t="str">
        <f>IFERROR(VLOOKUP(I725,'[1]ABC Master Lists'!$B$2:$I$346,4,FALSE)," ")</f>
        <v xml:space="preserve"> </v>
      </c>
      <c r="K725" s="82" t="str">
        <f>IFERROR(VLOOKUP(I725,'[1]ABC Master Lists'!$B$2:$I$346,8,FALSE)," ")</f>
        <v xml:space="preserve"> </v>
      </c>
      <c r="L725" s="121" t="str">
        <f>IFERROR(VLOOKUP(J725,'[1]ABC Master Lists'!$AQ$2:$AS$12,3,FALSE)," ")</f>
        <v xml:space="preserve"> </v>
      </c>
      <c r="M725" s="121" t="str">
        <f>IFERROR(VLOOKUP(K725,'[1]ABC Master Lists'!$AD$2:$AE$22,2,FALSE), " ")</f>
        <v xml:space="preserve"> </v>
      </c>
    </row>
    <row r="726" spans="4:13" x14ac:dyDescent="0.25">
      <c r="D726" s="26">
        <v>11</v>
      </c>
      <c r="E726" s="51" t="s">
        <v>68</v>
      </c>
      <c r="F726" s="4">
        <v>0.75</v>
      </c>
      <c r="G726" s="76" t="s">
        <v>61</v>
      </c>
      <c r="H726" s="41" t="s">
        <v>5</v>
      </c>
      <c r="I726" s="36">
        <v>146</v>
      </c>
      <c r="J726" s="79">
        <f>IFERROR(VLOOKUP(I726,'[1]ABC Master Lists'!$B$2:$I$346,4,FALSE)," ")</f>
        <v>11121</v>
      </c>
      <c r="K726" s="79">
        <f>IFERROR(VLOOKUP(I726,'[1]ABC Master Lists'!$B$2:$I$346,8,FALSE)," ")</f>
        <v>68</v>
      </c>
      <c r="L726" s="118" t="str">
        <f>IFERROR(VLOOKUP(J726,'[1]ABC Master Lists'!$AQ$2:$AS$12,3,FALSE)," ")</f>
        <v xml:space="preserve"> </v>
      </c>
      <c r="M726" s="118" t="str">
        <f>IFERROR(VLOOKUP(K726,'[1]ABC Master Lists'!$AD$2:$AE$22,2,FALSE), " ")</f>
        <v>+</v>
      </c>
    </row>
    <row r="727" spans="4:13" x14ac:dyDescent="0.25">
      <c r="E727" s="51" t="s">
        <v>112</v>
      </c>
      <c r="F727" s="4">
        <v>0.25</v>
      </c>
      <c r="G727" s="76" t="s">
        <v>54</v>
      </c>
      <c r="H727" s="41" t="s">
        <v>5</v>
      </c>
      <c r="J727" s="79" t="str">
        <f>IFERROR(VLOOKUP(I727,'[1]ABC Master Lists'!$B$2:$I$346,4,FALSE)," ")</f>
        <v xml:space="preserve"> </v>
      </c>
      <c r="K727" s="79" t="str">
        <f>IFERROR(VLOOKUP(I727,'[1]ABC Master Lists'!$B$2:$I$346,8,FALSE)," ")</f>
        <v xml:space="preserve"> </v>
      </c>
      <c r="L727" s="118" t="str">
        <f>IFERROR(VLOOKUP(J727,'[1]ABC Master Lists'!$AQ$2:$AS$12,3,FALSE)," ")</f>
        <v xml:space="preserve"> </v>
      </c>
      <c r="M727" s="118" t="str">
        <f>IFERROR(VLOOKUP(K727,'[1]ABC Master Lists'!$AD$2:$AE$22,2,FALSE), " ")</f>
        <v xml:space="preserve"> </v>
      </c>
    </row>
    <row r="728" spans="4:13" x14ac:dyDescent="0.25">
      <c r="E728" s="51" t="s">
        <v>72</v>
      </c>
      <c r="F728" s="4">
        <v>10.5</v>
      </c>
      <c r="G728" s="76" t="s">
        <v>80</v>
      </c>
      <c r="H728" s="41" t="s">
        <v>20</v>
      </c>
      <c r="J728" s="79" t="str">
        <f>IFERROR(VLOOKUP(I728,'[1]ABC Master Lists'!$B$2:$I$346,4,FALSE)," ")</f>
        <v xml:space="preserve"> </v>
      </c>
      <c r="K728" s="79" t="str">
        <f>IFERROR(VLOOKUP(I728,'[1]ABC Master Lists'!$B$2:$I$346,8,FALSE)," ")</f>
        <v xml:space="preserve"> </v>
      </c>
      <c r="L728" s="118" t="str">
        <f>IFERROR(VLOOKUP(J728,'[1]ABC Master Lists'!$AQ$2:$AS$12,3,FALSE)," ")</f>
        <v xml:space="preserve"> </v>
      </c>
      <c r="M728" s="118" t="str">
        <f>IFERROR(VLOOKUP(K728,'[1]ABC Master Lists'!$AD$2:$AE$22,2,FALSE), " ")</f>
        <v xml:space="preserve"> </v>
      </c>
    </row>
    <row r="729" spans="4:13" x14ac:dyDescent="0.25">
      <c r="E729" s="51" t="s">
        <v>112</v>
      </c>
      <c r="F729" s="4">
        <v>0.25</v>
      </c>
      <c r="G729" s="76" t="s">
        <v>54</v>
      </c>
      <c r="H729" s="41" t="s">
        <v>20</v>
      </c>
      <c r="J729" s="79" t="str">
        <f>IFERROR(VLOOKUP(I729,'[1]ABC Master Lists'!$B$2:$I$346,4,FALSE)," ")</f>
        <v xml:space="preserve"> </v>
      </c>
      <c r="K729" s="79" t="str">
        <f>IFERROR(VLOOKUP(I729,'[1]ABC Master Lists'!$B$2:$I$346,8,FALSE)," ")</f>
        <v xml:space="preserve"> </v>
      </c>
      <c r="L729" s="118" t="str">
        <f>IFERROR(VLOOKUP(J729,'[1]ABC Master Lists'!$AQ$2:$AS$12,3,FALSE)," ")</f>
        <v xml:space="preserve"> </v>
      </c>
      <c r="M729" s="118" t="str">
        <f>IFERROR(VLOOKUP(K729,'[1]ABC Master Lists'!$AD$2:$AE$22,2,FALSE), " ")</f>
        <v xml:space="preserve"> </v>
      </c>
    </row>
    <row r="730" spans="4:13" x14ac:dyDescent="0.25">
      <c r="D730" s="27">
        <v>12</v>
      </c>
      <c r="E730" s="200" t="s">
        <v>60</v>
      </c>
      <c r="F730" s="17">
        <v>31</v>
      </c>
      <c r="G730" s="201" t="s">
        <v>80</v>
      </c>
      <c r="H730" s="86" t="s">
        <v>5</v>
      </c>
      <c r="I730" s="37">
        <v>44</v>
      </c>
      <c r="J730" s="81">
        <f>IFERROR(VLOOKUP(I730,'[1]ABC Master Lists'!$B$2:$I$346,4,FALSE)," ")</f>
        <v>28</v>
      </c>
      <c r="K730" s="81">
        <f>IFERROR(VLOOKUP(I730,'[1]ABC Master Lists'!$B$2:$I$346,8,FALSE)," ")</f>
        <v>6</v>
      </c>
      <c r="L730" s="120" t="str">
        <f>IFERROR(VLOOKUP(J730,'[1]ABC Master Lists'!$AQ$2:$AS$12,3,FALSE)," ")</f>
        <v>+</v>
      </c>
      <c r="M730" s="120" t="str">
        <f>IFERROR(VLOOKUP(K730,'[1]ABC Master Lists'!$AD$2:$AE$22,2,FALSE), " ")</f>
        <v>+</v>
      </c>
    </row>
    <row r="731" spans="4:13" x14ac:dyDescent="0.25">
      <c r="D731" s="26">
        <v>13</v>
      </c>
      <c r="E731" s="51" t="s">
        <v>60</v>
      </c>
      <c r="F731" s="4">
        <v>23.4</v>
      </c>
      <c r="G731" s="76" t="s">
        <v>80</v>
      </c>
      <c r="H731" s="41" t="s">
        <v>20</v>
      </c>
      <c r="I731" s="36">
        <v>43</v>
      </c>
      <c r="J731" s="79">
        <f>IFERROR(VLOOKUP(I731,'[1]ABC Master Lists'!$B$2:$I$346,4,FALSE)," ")</f>
        <v>28</v>
      </c>
      <c r="K731" s="79">
        <f>IFERROR(VLOOKUP(I731,'[1]ABC Master Lists'!$B$2:$I$346,8,FALSE)," ")</f>
        <v>8</v>
      </c>
      <c r="L731" s="118" t="str">
        <f>IFERROR(VLOOKUP(J731,'[1]ABC Master Lists'!$AQ$2:$AS$12,3,FALSE)," ")</f>
        <v>+</v>
      </c>
      <c r="M731" s="118" t="str">
        <f>IFERROR(VLOOKUP(K731,'[1]ABC Master Lists'!$AD$2:$AE$22,2,FALSE), " ")</f>
        <v>+</v>
      </c>
    </row>
    <row r="732" spans="4:13" x14ac:dyDescent="0.25">
      <c r="D732" s="27">
        <v>14</v>
      </c>
      <c r="E732" s="200" t="s">
        <v>60</v>
      </c>
      <c r="F732" s="17">
        <v>31</v>
      </c>
      <c r="G732" s="201" t="s">
        <v>80</v>
      </c>
      <c r="H732" s="86" t="s">
        <v>20</v>
      </c>
      <c r="I732" s="37">
        <v>45</v>
      </c>
      <c r="J732" s="81">
        <f>IFERROR(VLOOKUP(I732,'[1]ABC Master Lists'!$B$2:$I$346,4,FALSE)," ")</f>
        <v>28</v>
      </c>
      <c r="K732" s="81">
        <f>IFERROR(VLOOKUP(I732,'[1]ABC Master Lists'!$B$2:$I$346,8,FALSE)," ")</f>
        <v>8</v>
      </c>
      <c r="L732" s="120" t="str">
        <f>IFERROR(VLOOKUP(J732,'[1]ABC Master Lists'!$AQ$2:$AS$12,3,FALSE)," ")</f>
        <v>+</v>
      </c>
      <c r="M732" s="120" t="str">
        <f>IFERROR(VLOOKUP(K732,'[1]ABC Master Lists'!$AD$2:$AE$22,2,FALSE), " ")</f>
        <v>+</v>
      </c>
    </row>
    <row r="733" spans="4:13" x14ac:dyDescent="0.25">
      <c r="D733" s="26">
        <v>15</v>
      </c>
      <c r="E733" s="51" t="s">
        <v>35</v>
      </c>
      <c r="F733" s="4">
        <v>21.3</v>
      </c>
      <c r="G733" s="76" t="s">
        <v>80</v>
      </c>
      <c r="H733" s="41" t="s">
        <v>20</v>
      </c>
      <c r="I733" s="36">
        <v>218</v>
      </c>
      <c r="J733" s="79">
        <f>IFERROR(VLOOKUP(I733,'[1]ABC Master Lists'!$B$2:$I$346,4,FALSE)," ")</f>
        <v>28</v>
      </c>
      <c r="K733" s="79">
        <f>IFERROR(VLOOKUP(I733,'[1]ABC Master Lists'!$B$2:$I$346,8,FALSE)," ")</f>
        <v>8</v>
      </c>
      <c r="L733" s="118" t="str">
        <f>IFERROR(VLOOKUP(J733,'[1]ABC Master Lists'!$AQ$2:$AS$12,3,FALSE)," ")</f>
        <v>+</v>
      </c>
      <c r="M733" s="118" t="str">
        <f>IFERROR(VLOOKUP(K733,'[1]ABC Master Lists'!$AD$2:$AE$22,2,FALSE), " ")</f>
        <v>+</v>
      </c>
    </row>
    <row r="734" spans="4:13" x14ac:dyDescent="0.25">
      <c r="D734" s="27">
        <v>16</v>
      </c>
      <c r="E734" s="200" t="s">
        <v>35</v>
      </c>
      <c r="F734" s="17">
        <v>28.4</v>
      </c>
      <c r="G734" s="201" t="s">
        <v>80</v>
      </c>
      <c r="H734" s="86" t="s">
        <v>20</v>
      </c>
      <c r="I734" s="37">
        <v>219</v>
      </c>
      <c r="J734" s="81">
        <f>IFERROR(VLOOKUP(I734,'[1]ABC Master Lists'!$B$2:$I$346,4,FALSE)," ")</f>
        <v>28</v>
      </c>
      <c r="K734" s="81">
        <f>IFERROR(VLOOKUP(I734,'[1]ABC Master Lists'!$B$2:$I$346,8,FALSE)," ")</f>
        <v>8</v>
      </c>
      <c r="L734" s="120" t="str">
        <f>IFERROR(VLOOKUP(J734,'[1]ABC Master Lists'!$AQ$2:$AS$12,3,FALSE)," ")</f>
        <v>+</v>
      </c>
      <c r="M734" s="120" t="str">
        <f>IFERROR(VLOOKUP(K734,'[1]ABC Master Lists'!$AD$2:$AE$22,2,FALSE), " ")</f>
        <v>+</v>
      </c>
    </row>
    <row r="735" spans="4:13" x14ac:dyDescent="0.25">
      <c r="D735" s="26">
        <v>17</v>
      </c>
      <c r="E735" s="51" t="s">
        <v>60</v>
      </c>
      <c r="F735" s="4">
        <v>23.4</v>
      </c>
      <c r="G735" s="76" t="s">
        <v>80</v>
      </c>
      <c r="H735" s="41" t="s">
        <v>20</v>
      </c>
      <c r="I735" s="36">
        <v>46</v>
      </c>
      <c r="J735" s="79">
        <f>IFERROR(VLOOKUP(I735,'[1]ABC Master Lists'!$B$2:$I$346,4,FALSE)," ")</f>
        <v>2815</v>
      </c>
      <c r="K735" s="79">
        <f>IFERROR(VLOOKUP(I735,'[1]ABC Master Lists'!$B$2:$I$346,8,FALSE)," ")</f>
        <v>8</v>
      </c>
      <c r="L735" s="118" t="str">
        <f>IFERROR(VLOOKUP(J735,'[1]ABC Master Lists'!$AQ$2:$AS$12,3,FALSE)," ")</f>
        <v xml:space="preserve"> </v>
      </c>
      <c r="M735" s="118" t="str">
        <f>IFERROR(VLOOKUP(K735,'[1]ABC Master Lists'!$AD$2:$AE$22,2,FALSE), " ")</f>
        <v>+</v>
      </c>
    </row>
    <row r="736" spans="4:13" x14ac:dyDescent="0.25">
      <c r="E736" s="51" t="s">
        <v>36</v>
      </c>
      <c r="F736" s="4">
        <v>10</v>
      </c>
      <c r="G736" s="76" t="s">
        <v>80</v>
      </c>
      <c r="H736" s="41" t="s">
        <v>20</v>
      </c>
      <c r="J736" s="79" t="str">
        <f>IFERROR(VLOOKUP(I736,'[1]ABC Master Lists'!$B$2:$I$346,4,FALSE)," ")</f>
        <v xml:space="preserve"> </v>
      </c>
      <c r="K736" s="79" t="str">
        <f>IFERROR(VLOOKUP(I736,'[1]ABC Master Lists'!$B$2:$I$346,8,FALSE)," ")</f>
        <v xml:space="preserve"> </v>
      </c>
      <c r="L736" s="118" t="str">
        <f>IFERROR(VLOOKUP(J736,'[1]ABC Master Lists'!$AQ$2:$AS$12,3,FALSE)," ")</f>
        <v xml:space="preserve"> </v>
      </c>
      <c r="M736" s="118" t="str">
        <f>IFERROR(VLOOKUP(K736,'[1]ABC Master Lists'!$AD$2:$AE$22,2,FALSE), " ")</f>
        <v xml:space="preserve"> </v>
      </c>
    </row>
    <row r="737" spans="4:13" x14ac:dyDescent="0.25">
      <c r="D737" s="28">
        <v>18</v>
      </c>
      <c r="E737" s="197" t="s">
        <v>113</v>
      </c>
      <c r="F737" s="20">
        <v>9</v>
      </c>
      <c r="G737" s="198" t="s">
        <v>80</v>
      </c>
      <c r="H737" s="44" t="s">
        <v>5</v>
      </c>
      <c r="I737" s="38">
        <v>17</v>
      </c>
      <c r="J737" s="83">
        <f>IFERROR(VLOOKUP(I737,'[1]ABC Master Lists'!$B$2:$I$346,4,FALSE)," ")</f>
        <v>20</v>
      </c>
      <c r="K737" s="83">
        <f>IFERROR(VLOOKUP(I737,'[1]ABC Master Lists'!$B$2:$I$346,8,FALSE)," ")</f>
        <v>6</v>
      </c>
      <c r="L737" s="122" t="str">
        <f>IFERROR(VLOOKUP(J737,'[1]ABC Master Lists'!$AQ$2:$AS$12,3,FALSE)," ")</f>
        <v>+</v>
      </c>
      <c r="M737" s="122" t="str">
        <f>IFERROR(VLOOKUP(K737,'[1]ABC Master Lists'!$AD$2:$AE$22,2,FALSE), " ")</f>
        <v>+</v>
      </c>
    </row>
    <row r="738" spans="4:13" x14ac:dyDescent="0.25">
      <c r="D738" s="29"/>
      <c r="E738" s="100" t="s">
        <v>112</v>
      </c>
      <c r="F738" s="23">
        <v>0.25</v>
      </c>
      <c r="G738" s="199" t="s">
        <v>54</v>
      </c>
      <c r="H738" s="47" t="s">
        <v>5</v>
      </c>
      <c r="I738" s="39"/>
      <c r="J738" s="82" t="str">
        <f>IFERROR(VLOOKUP(I738,'[1]ABC Master Lists'!$B$2:$I$346,4,FALSE)," ")</f>
        <v xml:space="preserve"> </v>
      </c>
      <c r="K738" s="82" t="str">
        <f>IFERROR(VLOOKUP(I738,'[1]ABC Master Lists'!$B$2:$I$346,8,FALSE)," ")</f>
        <v xml:space="preserve"> </v>
      </c>
      <c r="L738" s="121" t="str">
        <f>IFERROR(VLOOKUP(J738,'[1]ABC Master Lists'!$AQ$2:$AS$12,3,FALSE)," ")</f>
        <v xml:space="preserve"> </v>
      </c>
      <c r="M738" s="121" t="str">
        <f>IFERROR(VLOOKUP(K738,'[1]ABC Master Lists'!$AD$2:$AE$22,2,FALSE), " ")</f>
        <v xml:space="preserve"> </v>
      </c>
    </row>
    <row r="739" spans="4:13" x14ac:dyDescent="0.25">
      <c r="D739" s="26">
        <v>19</v>
      </c>
      <c r="E739" s="51" t="s">
        <v>113</v>
      </c>
      <c r="F739" s="4">
        <v>9</v>
      </c>
      <c r="G739" s="76" t="s">
        <v>80</v>
      </c>
      <c r="H739" s="41" t="s">
        <v>20</v>
      </c>
      <c r="I739" s="36">
        <v>19</v>
      </c>
      <c r="J739" s="79">
        <f>IFERROR(VLOOKUP(I739,'[1]ABC Master Lists'!$B$2:$I$346,4,FALSE)," ")</f>
        <v>20</v>
      </c>
      <c r="K739" s="79">
        <f>IFERROR(VLOOKUP(I739,'[1]ABC Master Lists'!$B$2:$I$346,8,FALSE)," ")</f>
        <v>8</v>
      </c>
      <c r="L739" s="118" t="str">
        <f>IFERROR(VLOOKUP(J739,'[1]ABC Master Lists'!$AQ$2:$AS$12,3,FALSE)," ")</f>
        <v>+</v>
      </c>
      <c r="M739" s="118" t="str">
        <f>IFERROR(VLOOKUP(K739,'[1]ABC Master Lists'!$AD$2:$AE$22,2,FALSE), " ")</f>
        <v>+</v>
      </c>
    </row>
    <row r="740" spans="4:13" x14ac:dyDescent="0.25">
      <c r="E740" s="51" t="s">
        <v>112</v>
      </c>
      <c r="F740" s="4">
        <v>0.25</v>
      </c>
      <c r="G740" s="76" t="s">
        <v>54</v>
      </c>
      <c r="H740" s="41" t="s">
        <v>20</v>
      </c>
      <c r="J740" s="79" t="str">
        <f>IFERROR(VLOOKUP(I740,'[1]ABC Master Lists'!$B$2:$I$346,4,FALSE)," ")</f>
        <v xml:space="preserve"> </v>
      </c>
      <c r="K740" s="79" t="str">
        <f>IFERROR(VLOOKUP(I740,'[1]ABC Master Lists'!$B$2:$I$346,8,FALSE)," ")</f>
        <v xml:space="preserve"> </v>
      </c>
      <c r="L740" s="118" t="str">
        <f>IFERROR(VLOOKUP(J740,'[1]ABC Master Lists'!$AQ$2:$AS$12,3,FALSE)," ")</f>
        <v xml:space="preserve"> </v>
      </c>
      <c r="M740" s="118" t="str">
        <f>IFERROR(VLOOKUP(K740,'[1]ABC Master Lists'!$AD$2:$AE$22,2,FALSE), " ")</f>
        <v xml:space="preserve"> </v>
      </c>
    </row>
    <row r="741" spans="4:13" x14ac:dyDescent="0.25">
      <c r="D741" s="27">
        <v>20</v>
      </c>
      <c r="E741" s="200" t="s">
        <v>114</v>
      </c>
      <c r="F741" s="17">
        <v>0.27</v>
      </c>
      <c r="G741" s="201" t="s">
        <v>115</v>
      </c>
      <c r="H741" s="86" t="s">
        <v>116</v>
      </c>
      <c r="I741" s="37">
        <v>114</v>
      </c>
      <c r="J741" s="81" t="str">
        <f>IFERROR(VLOOKUP(I741,'[1]ABC Master Lists'!$B$2:$I$346,4,FALSE)," ")</f>
        <v>U</v>
      </c>
      <c r="K741" s="81">
        <f>IFERROR(VLOOKUP(I741,'[1]ABC Master Lists'!$B$2:$I$346,8,FALSE)," ")</f>
        <v>1</v>
      </c>
      <c r="L741" s="120" t="str">
        <f>IFERROR(VLOOKUP(J741,'[1]ABC Master Lists'!$AQ$2:$AS$12,3,FALSE)," ")</f>
        <v xml:space="preserve"> </v>
      </c>
      <c r="M741" s="120"/>
    </row>
    <row r="742" spans="4:13" x14ac:dyDescent="0.25">
      <c r="D742" s="26">
        <v>21</v>
      </c>
      <c r="E742" s="51" t="s">
        <v>117</v>
      </c>
      <c r="F742" s="4">
        <v>3</v>
      </c>
      <c r="G742" s="76" t="s">
        <v>118</v>
      </c>
      <c r="H742" s="41" t="s">
        <v>116</v>
      </c>
      <c r="I742" s="36">
        <v>70</v>
      </c>
      <c r="J742" s="79">
        <f>IFERROR(VLOOKUP(I742,'[1]ABC Master Lists'!$B$2:$I$346,4,FALSE)," ")</f>
        <v>271912</v>
      </c>
      <c r="K742" s="79">
        <f>IFERROR(VLOOKUP(I742,'[1]ABC Master Lists'!$B$2:$I$346,8,FALSE)," ")</f>
        <v>1</v>
      </c>
      <c r="L742" s="118" t="str">
        <f>IFERROR(VLOOKUP(J742,'[1]ABC Master Lists'!$AQ$2:$AS$12,3,FALSE)," ")</f>
        <v xml:space="preserve"> </v>
      </c>
    </row>
    <row r="743" spans="4:13" x14ac:dyDescent="0.25">
      <c r="D743" s="28">
        <v>22</v>
      </c>
      <c r="E743" s="197" t="s">
        <v>114</v>
      </c>
      <c r="F743" s="20">
        <v>0.13500000000000001</v>
      </c>
      <c r="G743" s="198" t="s">
        <v>115</v>
      </c>
      <c r="H743" s="44" t="s">
        <v>116</v>
      </c>
      <c r="I743" s="38">
        <v>116</v>
      </c>
      <c r="J743" s="83" t="str">
        <f>IFERROR(VLOOKUP(I743,'[1]ABC Master Lists'!$B$2:$I$346,4,FALSE)," ")</f>
        <v>U271912</v>
      </c>
      <c r="K743" s="83">
        <f>IFERROR(VLOOKUP(I743,'[1]ABC Master Lists'!$B$2:$I$346,8,FALSE)," ")</f>
        <v>1</v>
      </c>
      <c r="L743" s="122" t="str">
        <f>IFERROR(VLOOKUP(J743,'[1]ABC Master Lists'!$AQ$2:$AS$12,3,FALSE)," ")</f>
        <v xml:space="preserve"> </v>
      </c>
      <c r="M743" s="122"/>
    </row>
    <row r="744" spans="4:13" x14ac:dyDescent="0.25">
      <c r="D744" s="29"/>
      <c r="E744" s="100" t="s">
        <v>117</v>
      </c>
      <c r="F744" s="23">
        <v>3</v>
      </c>
      <c r="G744" s="199" t="s">
        <v>118</v>
      </c>
      <c r="H744" s="47" t="s">
        <v>116</v>
      </c>
      <c r="I744" s="39"/>
      <c r="J744" s="82" t="str">
        <f>IFERROR(VLOOKUP(I744,'[1]ABC Master Lists'!$B$2:$I$346,4,FALSE)," ")</f>
        <v xml:space="preserve"> </v>
      </c>
      <c r="K744" s="82" t="str">
        <f>IFERROR(VLOOKUP(I744,'[1]ABC Master Lists'!$B$2:$I$346,8,FALSE)," ")</f>
        <v xml:space="preserve"> </v>
      </c>
      <c r="L744" s="121" t="str">
        <f>IFERROR(VLOOKUP(J744,'[1]ABC Master Lists'!$AQ$2:$AS$12,3,FALSE)," ")</f>
        <v xml:space="preserve"> </v>
      </c>
      <c r="M744" s="121"/>
    </row>
    <row r="745" spans="4:13" x14ac:dyDescent="0.25">
      <c r="D745" s="26">
        <v>23</v>
      </c>
      <c r="E745" s="51" t="s">
        <v>114</v>
      </c>
      <c r="F745" s="4">
        <v>0.27</v>
      </c>
      <c r="G745" s="76" t="s">
        <v>115</v>
      </c>
      <c r="H745" s="41" t="s">
        <v>116</v>
      </c>
      <c r="I745" s="36">
        <v>117</v>
      </c>
      <c r="J745" s="79" t="str">
        <f>IFERROR(VLOOKUP(I745,'[1]ABC Master Lists'!$B$2:$I$346,4,FALSE)," ")</f>
        <v>U271912</v>
      </c>
      <c r="K745" s="79">
        <f>IFERROR(VLOOKUP(I745,'[1]ABC Master Lists'!$B$2:$I$346,8,FALSE)," ")</f>
        <v>1</v>
      </c>
      <c r="L745" s="118" t="str">
        <f>IFERROR(VLOOKUP(J745,'[1]ABC Master Lists'!$AQ$2:$AS$12,3,FALSE)," ")</f>
        <v xml:space="preserve"> </v>
      </c>
    </row>
    <row r="746" spans="4:13" x14ac:dyDescent="0.25">
      <c r="E746" s="51" t="s">
        <v>117</v>
      </c>
      <c r="F746" s="4">
        <v>3</v>
      </c>
      <c r="G746" s="76" t="s">
        <v>118</v>
      </c>
      <c r="H746" s="41" t="s">
        <v>116</v>
      </c>
      <c r="J746" s="79" t="str">
        <f>IFERROR(VLOOKUP(I746,'[1]ABC Master Lists'!$B$2:$I$346,4,FALSE)," ")</f>
        <v xml:space="preserve"> </v>
      </c>
      <c r="K746" s="79" t="str">
        <f>IFERROR(VLOOKUP(I746,'[1]ABC Master Lists'!$B$2:$I$346,8,FALSE)," ")</f>
        <v xml:space="preserve"> </v>
      </c>
      <c r="L746" s="118" t="str">
        <f>IFERROR(VLOOKUP(J746,'[1]ABC Master Lists'!$AQ$2:$AS$12,3,FALSE)," ")</f>
        <v xml:space="preserve"> </v>
      </c>
    </row>
    <row r="747" spans="4:13" x14ac:dyDescent="0.25">
      <c r="D747" s="28">
        <v>24</v>
      </c>
      <c r="E747" s="197" t="s">
        <v>114</v>
      </c>
      <c r="F747" s="20">
        <v>0.54</v>
      </c>
      <c r="G747" s="198" t="s">
        <v>115</v>
      </c>
      <c r="H747" s="44" t="s">
        <v>116</v>
      </c>
      <c r="I747" s="38">
        <v>118</v>
      </c>
      <c r="J747" s="83" t="str">
        <f>IFERROR(VLOOKUP(I747,'[1]ABC Master Lists'!$B$2:$I$346,4,FALSE)," ")</f>
        <v>U271912</v>
      </c>
      <c r="K747" s="83">
        <f>IFERROR(VLOOKUP(I747,'[1]ABC Master Lists'!$B$2:$I$346,8,FALSE)," ")</f>
        <v>1</v>
      </c>
      <c r="L747" s="122" t="str">
        <f>IFERROR(VLOOKUP(J747,'[1]ABC Master Lists'!$AQ$2:$AS$12,3,FALSE)," ")</f>
        <v xml:space="preserve"> </v>
      </c>
      <c r="M747" s="122"/>
    </row>
    <row r="748" spans="4:13" x14ac:dyDescent="0.25">
      <c r="D748" s="29"/>
      <c r="E748" s="100" t="s">
        <v>117</v>
      </c>
      <c r="F748" s="23">
        <v>3</v>
      </c>
      <c r="G748" s="199" t="s">
        <v>118</v>
      </c>
      <c r="H748" s="47" t="s">
        <v>116</v>
      </c>
      <c r="I748" s="39"/>
      <c r="J748" s="82" t="str">
        <f>IFERROR(VLOOKUP(I748,'[1]ABC Master Lists'!$B$2:$I$346,4,FALSE)," ")</f>
        <v xml:space="preserve"> </v>
      </c>
      <c r="K748" s="82" t="str">
        <f>IFERROR(VLOOKUP(I748,'[1]ABC Master Lists'!$B$2:$I$346,8,FALSE)," ")</f>
        <v xml:space="preserve"> </v>
      </c>
      <c r="L748" s="121" t="str">
        <f>IFERROR(VLOOKUP(J748,'[1]ABC Master Lists'!$AQ$2:$AS$12,3,FALSE)," ")</f>
        <v xml:space="preserve"> </v>
      </c>
      <c r="M748" s="121"/>
    </row>
    <row r="749" spans="4:13" x14ac:dyDescent="0.25">
      <c r="D749" s="26">
        <v>25</v>
      </c>
      <c r="E749" s="51" t="s">
        <v>114</v>
      </c>
      <c r="F749" s="4">
        <v>0.13500000000000001</v>
      </c>
      <c r="G749" s="76" t="s">
        <v>115</v>
      </c>
      <c r="H749" s="41" t="s">
        <v>116</v>
      </c>
      <c r="I749" s="36">
        <v>113</v>
      </c>
      <c r="J749" s="79" t="str">
        <f>IFERROR(VLOOKUP(I749,'[1]ABC Master Lists'!$B$2:$I$346,4,FALSE)," ")</f>
        <v>U</v>
      </c>
      <c r="K749" s="79">
        <f>IFERROR(VLOOKUP(I749,'[1]ABC Master Lists'!$B$2:$I$346,8,FALSE)," ")</f>
        <v>1</v>
      </c>
      <c r="L749" s="118" t="str">
        <f>IFERROR(VLOOKUP(J749,'[1]ABC Master Lists'!$AQ$2:$AS$12,3,FALSE)," ")</f>
        <v xml:space="preserve"> </v>
      </c>
    </row>
    <row r="750" spans="4:13" x14ac:dyDescent="0.25">
      <c r="D750" s="27">
        <v>26</v>
      </c>
      <c r="E750" s="200" t="s">
        <v>114</v>
      </c>
      <c r="F750" s="17">
        <v>0.54</v>
      </c>
      <c r="G750" s="201" t="s">
        <v>115</v>
      </c>
      <c r="H750" s="86" t="s">
        <v>116</v>
      </c>
      <c r="I750" s="37">
        <v>115</v>
      </c>
      <c r="J750" s="81" t="str">
        <f>IFERROR(VLOOKUP(I750,'[1]ABC Master Lists'!$B$2:$I$346,4,FALSE)," ")</f>
        <v>U</v>
      </c>
      <c r="K750" s="81">
        <f>IFERROR(VLOOKUP(I750,'[1]ABC Master Lists'!$B$2:$I$346,8,FALSE)," ")</f>
        <v>1</v>
      </c>
      <c r="L750" s="120" t="str">
        <f>IFERROR(VLOOKUP(J750,'[1]ABC Master Lists'!$AQ$2:$AS$12,3,FALSE)," ")</f>
        <v xml:space="preserve"> </v>
      </c>
      <c r="M750" s="120"/>
    </row>
    <row r="751" spans="4:13" x14ac:dyDescent="0.25">
      <c r="D751" s="26">
        <v>27</v>
      </c>
      <c r="E751" s="51" t="s">
        <v>119</v>
      </c>
      <c r="F751" s="4">
        <v>3.78</v>
      </c>
      <c r="G751" s="76" t="s">
        <v>120</v>
      </c>
      <c r="H751" s="41" t="s">
        <v>121</v>
      </c>
      <c r="I751" s="36">
        <v>119</v>
      </c>
      <c r="J751" s="79" t="str">
        <f>IFERROR(VLOOKUP(I751,'[1]ABC Master Lists'!$B$2:$I$346,4,FALSE)," ")</f>
        <v>U</v>
      </c>
      <c r="K751" s="79">
        <f>IFERROR(VLOOKUP(I751,'[1]ABC Master Lists'!$B$2:$I$346,8,FALSE)," ")</f>
        <v>2</v>
      </c>
      <c r="L751" s="118" t="str">
        <f>IFERROR(VLOOKUP(J751,'[1]ABC Master Lists'!$AQ$2:$AS$12,3,FALSE)," ")</f>
        <v xml:space="preserve"> </v>
      </c>
    </row>
    <row r="752" spans="4:13" x14ac:dyDescent="0.25">
      <c r="D752" s="28">
        <v>28</v>
      </c>
      <c r="E752" s="197" t="s">
        <v>10</v>
      </c>
      <c r="F752" s="20">
        <v>8</v>
      </c>
      <c r="G752" s="198" t="s">
        <v>46</v>
      </c>
      <c r="H752" s="44" t="s">
        <v>20</v>
      </c>
      <c r="I752" s="38">
        <v>92</v>
      </c>
      <c r="J752" s="83">
        <f>IFERROR(VLOOKUP(I752,'[1]ABC Master Lists'!$B$2:$I$346,4,FALSE)," ")</f>
        <v>4</v>
      </c>
      <c r="K752" s="83">
        <f>IFERROR(VLOOKUP(I752,'[1]ABC Master Lists'!$B$2:$I$346,8,FALSE)," ")</f>
        <v>8</v>
      </c>
      <c r="L752" s="122" t="str">
        <f>IFERROR(VLOOKUP(J752,'[1]ABC Master Lists'!$AQ$2:$AS$12,3,FALSE)," ")</f>
        <v>+</v>
      </c>
      <c r="M752" s="122" t="str">
        <f>IFERROR(VLOOKUP(K752,'[1]ABC Master Lists'!$AD$2:$AE$22,2,FALSE), " ")</f>
        <v>+</v>
      </c>
    </row>
    <row r="753" spans="4:13" x14ac:dyDescent="0.25">
      <c r="D753" s="29"/>
      <c r="E753" s="100" t="s">
        <v>112</v>
      </c>
      <c r="F753" s="23">
        <v>0.25</v>
      </c>
      <c r="G753" s="199" t="s">
        <v>54</v>
      </c>
      <c r="H753" s="47" t="s">
        <v>20</v>
      </c>
      <c r="I753" s="39"/>
      <c r="J753" s="82" t="str">
        <f>IFERROR(VLOOKUP(I753,'[1]ABC Master Lists'!$B$2:$I$346,4,FALSE)," ")</f>
        <v xml:space="preserve"> </v>
      </c>
      <c r="K753" s="82" t="str">
        <f>IFERROR(VLOOKUP(I753,'[1]ABC Master Lists'!$B$2:$I$346,8,FALSE)," ")</f>
        <v xml:space="preserve"> </v>
      </c>
      <c r="L753" s="121" t="str">
        <f>IFERROR(VLOOKUP(J753,'[1]ABC Master Lists'!$AQ$2:$AS$12,3,FALSE)," ")</f>
        <v xml:space="preserve"> </v>
      </c>
      <c r="M753" s="121" t="str">
        <f>IFERROR(VLOOKUP(K753,'[1]ABC Master Lists'!$AD$2:$AE$22,2,FALSE), " ")</f>
        <v xml:space="preserve"> </v>
      </c>
    </row>
    <row r="754" spans="4:13" x14ac:dyDescent="0.25">
      <c r="D754" s="26">
        <v>29</v>
      </c>
      <c r="E754" s="51" t="s">
        <v>10</v>
      </c>
      <c r="F754" s="4">
        <v>8</v>
      </c>
      <c r="G754" s="76" t="s">
        <v>46</v>
      </c>
      <c r="H754" s="41" t="s">
        <v>64</v>
      </c>
      <c r="I754" s="36">
        <v>93</v>
      </c>
      <c r="J754" s="79">
        <f>IFERROR(VLOOKUP(I754,'[1]ABC Master Lists'!$B$2:$I$346,4,FALSE)," ")</f>
        <v>4</v>
      </c>
      <c r="K754" s="79">
        <f>IFERROR(VLOOKUP(I754,'[1]ABC Master Lists'!$B$2:$I$346,8,FALSE)," ")</f>
        <v>9</v>
      </c>
      <c r="L754" s="118" t="str">
        <f>IFERROR(VLOOKUP(J754,'[1]ABC Master Lists'!$AQ$2:$AS$12,3,FALSE)," ")</f>
        <v>+</v>
      </c>
    </row>
    <row r="755" spans="4:13" x14ac:dyDescent="0.25">
      <c r="E755" s="51" t="s">
        <v>112</v>
      </c>
      <c r="F755" s="4">
        <v>0.25</v>
      </c>
      <c r="G755" s="76" t="s">
        <v>54</v>
      </c>
      <c r="H755" s="41" t="s">
        <v>64</v>
      </c>
      <c r="J755" s="79" t="str">
        <f>IFERROR(VLOOKUP(I755,'[1]ABC Master Lists'!$B$2:$I$346,4,FALSE)," ")</f>
        <v xml:space="preserve"> </v>
      </c>
      <c r="K755" s="79" t="str">
        <f>IFERROR(VLOOKUP(I755,'[1]ABC Master Lists'!$B$2:$I$346,8,FALSE)," ")</f>
        <v xml:space="preserve"> </v>
      </c>
      <c r="L755" s="118" t="str">
        <f>IFERROR(VLOOKUP(J755,'[1]ABC Master Lists'!$AQ$2:$AS$12,3,FALSE)," ")</f>
        <v xml:space="preserve"> </v>
      </c>
      <c r="M755" s="118" t="str">
        <f>IFERROR(VLOOKUP(K755,'[1]ABC Master Lists'!$AD$2:$AE$22,2,FALSE), " ")</f>
        <v xml:space="preserve"> </v>
      </c>
    </row>
    <row r="756" spans="4:13" x14ac:dyDescent="0.25">
      <c r="D756" s="28">
        <v>30</v>
      </c>
      <c r="E756" s="197" t="s">
        <v>10</v>
      </c>
      <c r="F756" s="20">
        <v>8</v>
      </c>
      <c r="G756" s="198" t="s">
        <v>46</v>
      </c>
      <c r="H756" s="44" t="s">
        <v>65</v>
      </c>
      <c r="I756" s="38">
        <v>94</v>
      </c>
      <c r="J756" s="83">
        <f>IFERROR(VLOOKUP(I756,'[1]ABC Master Lists'!$B$2:$I$346,4,FALSE)," ")</f>
        <v>4</v>
      </c>
      <c r="K756" s="83">
        <f>IFERROR(VLOOKUP(I756,'[1]ABC Master Lists'!$B$2:$I$346,8,FALSE)," ")</f>
        <v>10</v>
      </c>
      <c r="L756" s="122" t="str">
        <f>IFERROR(VLOOKUP(J756,'[1]ABC Master Lists'!$AQ$2:$AS$12,3,FALSE)," ")</f>
        <v>+</v>
      </c>
      <c r="M756" s="122" t="str">
        <f>IFERROR(VLOOKUP(K756,'[1]ABC Master Lists'!$AD$2:$AE$22,2,FALSE), " ")</f>
        <v>+</v>
      </c>
    </row>
    <row r="757" spans="4:13" x14ac:dyDescent="0.25">
      <c r="D757" s="29"/>
      <c r="E757" s="100" t="s">
        <v>112</v>
      </c>
      <c r="F757" s="23">
        <v>0.25</v>
      </c>
      <c r="G757" s="199" t="s">
        <v>54</v>
      </c>
      <c r="H757" s="47" t="s">
        <v>65</v>
      </c>
      <c r="I757" s="39"/>
      <c r="J757" s="82" t="str">
        <f>IFERROR(VLOOKUP(I757,'[1]ABC Master Lists'!$B$2:$I$346,4,FALSE)," ")</f>
        <v xml:space="preserve"> </v>
      </c>
      <c r="K757" s="82" t="str">
        <f>IFERROR(VLOOKUP(I757,'[1]ABC Master Lists'!$B$2:$I$346,8,FALSE)," ")</f>
        <v xml:space="preserve"> </v>
      </c>
      <c r="L757" s="121" t="str">
        <f>IFERROR(VLOOKUP(J757,'[1]ABC Master Lists'!$AQ$2:$AS$12,3,FALSE)," ")</f>
        <v xml:space="preserve"> </v>
      </c>
      <c r="M757" s="121" t="str">
        <f>IFERROR(VLOOKUP(K757,'[1]ABC Master Lists'!$AD$2:$AE$22,2,FALSE), " ")</f>
        <v xml:space="preserve"> </v>
      </c>
    </row>
    <row r="758" spans="4:13" x14ac:dyDescent="0.25">
      <c r="D758" s="26">
        <v>31</v>
      </c>
      <c r="E758" s="51" t="s">
        <v>113</v>
      </c>
      <c r="F758" s="4">
        <v>9</v>
      </c>
      <c r="G758" s="76" t="s">
        <v>80</v>
      </c>
      <c r="H758" s="41" t="s">
        <v>122</v>
      </c>
      <c r="I758" s="36">
        <v>30</v>
      </c>
      <c r="J758" s="79">
        <f>IFERROR(VLOOKUP(I758,'[1]ABC Master Lists'!$B$2:$I$346,4,FALSE)," ")</f>
        <v>420</v>
      </c>
      <c r="K758" s="79">
        <f>IFERROR(VLOOKUP(I758,'[1]ABC Master Lists'!$B$2:$I$346,8,FALSE)," ")</f>
        <v>56</v>
      </c>
      <c r="L758" s="118" t="str">
        <f>IFERROR(VLOOKUP(J758,'[1]ABC Master Lists'!$AQ$2:$AS$12,3,FALSE)," ")</f>
        <v xml:space="preserve"> </v>
      </c>
    </row>
    <row r="759" spans="4:13" x14ac:dyDescent="0.25">
      <c r="E759" s="51" t="s">
        <v>112</v>
      </c>
      <c r="F759" s="4">
        <v>0.25</v>
      </c>
      <c r="G759" s="76" t="s">
        <v>54</v>
      </c>
      <c r="H759" s="41" t="s">
        <v>122</v>
      </c>
      <c r="J759" s="79" t="str">
        <f>IFERROR(VLOOKUP(I759,'[1]ABC Master Lists'!$B$2:$I$346,4,FALSE)," ")</f>
        <v xml:space="preserve"> </v>
      </c>
      <c r="K759" s="79" t="str">
        <f>IFERROR(VLOOKUP(I759,'[1]ABC Master Lists'!$B$2:$I$346,8,FALSE)," ")</f>
        <v xml:space="preserve"> </v>
      </c>
      <c r="L759" s="118" t="str">
        <f>IFERROR(VLOOKUP(J759,'[1]ABC Master Lists'!$AQ$2:$AS$12,3,FALSE)," ")</f>
        <v xml:space="preserve"> </v>
      </c>
      <c r="M759" s="118" t="str">
        <f>IFERROR(VLOOKUP(K759,'[1]ABC Master Lists'!$AD$2:$AE$22,2,FALSE), " ")</f>
        <v xml:space="preserve"> </v>
      </c>
    </row>
    <row r="760" spans="4:13" x14ac:dyDescent="0.25">
      <c r="E760" s="51" t="s">
        <v>10</v>
      </c>
      <c r="F760" s="4">
        <v>8</v>
      </c>
      <c r="G760" s="76" t="s">
        <v>46</v>
      </c>
      <c r="H760" s="41" t="s">
        <v>5</v>
      </c>
      <c r="J760" s="79" t="str">
        <f>IFERROR(VLOOKUP(I760,'[1]ABC Master Lists'!$B$2:$I$346,4,FALSE)," ")</f>
        <v xml:space="preserve"> </v>
      </c>
      <c r="K760" s="79" t="str">
        <f>IFERROR(VLOOKUP(I760,'[1]ABC Master Lists'!$B$2:$I$346,8,FALSE)," ")</f>
        <v xml:space="preserve"> </v>
      </c>
      <c r="L760" s="118" t="str">
        <f>IFERROR(VLOOKUP(J760,'[1]ABC Master Lists'!$AQ$2:$AS$12,3,FALSE)," ")</f>
        <v xml:space="preserve"> </v>
      </c>
      <c r="M760" s="118" t="str">
        <f>IFERROR(VLOOKUP(K760,'[1]ABC Master Lists'!$AD$2:$AE$22,2,FALSE), " ")</f>
        <v xml:space="preserve"> </v>
      </c>
    </row>
    <row r="761" spans="4:13" x14ac:dyDescent="0.25">
      <c r="E761" s="51" t="s">
        <v>112</v>
      </c>
      <c r="F761" s="4">
        <v>0.25</v>
      </c>
      <c r="G761" s="76" t="s">
        <v>54</v>
      </c>
      <c r="H761" s="41" t="s">
        <v>5</v>
      </c>
      <c r="J761" s="79" t="str">
        <f>IFERROR(VLOOKUP(I761,'[1]ABC Master Lists'!$B$2:$I$346,4,FALSE)," ")</f>
        <v xml:space="preserve"> </v>
      </c>
      <c r="K761" s="79" t="str">
        <f>IFERROR(VLOOKUP(I761,'[1]ABC Master Lists'!$B$2:$I$346,8,FALSE)," ")</f>
        <v xml:space="preserve"> </v>
      </c>
      <c r="L761" s="118" t="str">
        <f>IFERROR(VLOOKUP(J761,'[1]ABC Master Lists'!$AQ$2:$AS$12,3,FALSE)," ")</f>
        <v xml:space="preserve"> </v>
      </c>
      <c r="M761" s="118" t="str">
        <f>IFERROR(VLOOKUP(K761,'[1]ABC Master Lists'!$AD$2:$AE$22,2,FALSE), " ")</f>
        <v xml:space="preserve"> </v>
      </c>
    </row>
    <row r="762" spans="4:13" x14ac:dyDescent="0.25">
      <c r="D762" s="28">
        <v>32</v>
      </c>
      <c r="E762" s="197" t="s">
        <v>113</v>
      </c>
      <c r="F762" s="20">
        <v>9</v>
      </c>
      <c r="G762" s="198" t="s">
        <v>80</v>
      </c>
      <c r="H762" s="44" t="s">
        <v>122</v>
      </c>
      <c r="I762" s="38">
        <v>31</v>
      </c>
      <c r="J762" s="83">
        <f>IFERROR(VLOOKUP(I762,'[1]ABC Master Lists'!$B$2:$I$346,4,FALSE)," ")</f>
        <v>420</v>
      </c>
      <c r="K762" s="83">
        <f>IFERROR(VLOOKUP(I762,'[1]ABC Master Lists'!$B$2:$I$346,8,FALSE)," ")</f>
        <v>58</v>
      </c>
      <c r="L762" s="122" t="str">
        <f>IFERROR(VLOOKUP(J762,'[1]ABC Master Lists'!$AQ$2:$AS$12,3,FALSE)," ")</f>
        <v xml:space="preserve"> </v>
      </c>
      <c r="M762" s="122"/>
    </row>
    <row r="763" spans="4:13" x14ac:dyDescent="0.25">
      <c r="E763" s="51" t="s">
        <v>112</v>
      </c>
      <c r="F763" s="4">
        <v>0.25</v>
      </c>
      <c r="G763" s="76" t="s">
        <v>54</v>
      </c>
      <c r="H763" s="41" t="s">
        <v>122</v>
      </c>
      <c r="J763" s="79" t="str">
        <f>IFERROR(VLOOKUP(I763,'[1]ABC Master Lists'!$B$2:$I$346,4,FALSE)," ")</f>
        <v xml:space="preserve"> </v>
      </c>
      <c r="K763" s="79" t="str">
        <f>IFERROR(VLOOKUP(I763,'[1]ABC Master Lists'!$B$2:$I$346,8,FALSE)," ")</f>
        <v xml:space="preserve"> </v>
      </c>
      <c r="L763" s="118" t="str">
        <f>IFERROR(VLOOKUP(J763,'[1]ABC Master Lists'!$AQ$2:$AS$12,3,FALSE)," ")</f>
        <v xml:space="preserve"> </v>
      </c>
      <c r="M763" s="118" t="str">
        <f>IFERROR(VLOOKUP(K763,'[1]ABC Master Lists'!$AD$2:$AE$22,2,FALSE), " ")</f>
        <v xml:space="preserve"> </v>
      </c>
    </row>
    <row r="764" spans="4:13" x14ac:dyDescent="0.25">
      <c r="E764" s="51" t="s">
        <v>10</v>
      </c>
      <c r="F764" s="4">
        <v>8</v>
      </c>
      <c r="G764" s="76" t="s">
        <v>46</v>
      </c>
      <c r="H764" s="41" t="s">
        <v>20</v>
      </c>
      <c r="J764" s="79" t="str">
        <f>IFERROR(VLOOKUP(I764,'[1]ABC Master Lists'!$B$2:$I$346,4,FALSE)," ")</f>
        <v xml:space="preserve"> </v>
      </c>
      <c r="K764" s="79" t="str">
        <f>IFERROR(VLOOKUP(I764,'[1]ABC Master Lists'!$B$2:$I$346,8,FALSE)," ")</f>
        <v xml:space="preserve"> </v>
      </c>
      <c r="L764" s="118" t="str">
        <f>IFERROR(VLOOKUP(J764,'[1]ABC Master Lists'!$AQ$2:$AS$12,3,FALSE)," ")</f>
        <v xml:space="preserve"> </v>
      </c>
      <c r="M764" s="118" t="str">
        <f>IFERROR(VLOOKUP(K764,'[1]ABC Master Lists'!$AD$2:$AE$22,2,FALSE), " ")</f>
        <v xml:space="preserve"> </v>
      </c>
    </row>
    <row r="765" spans="4:13" x14ac:dyDescent="0.25">
      <c r="D765" s="29"/>
      <c r="E765" s="100" t="s">
        <v>112</v>
      </c>
      <c r="F765" s="23">
        <v>0.25</v>
      </c>
      <c r="G765" s="199" t="s">
        <v>54</v>
      </c>
      <c r="H765" s="47" t="s">
        <v>20</v>
      </c>
      <c r="I765" s="39"/>
      <c r="J765" s="82" t="str">
        <f>IFERROR(VLOOKUP(I765,'[1]ABC Master Lists'!$B$2:$I$346,4,FALSE)," ")</f>
        <v xml:space="preserve"> </v>
      </c>
      <c r="K765" s="82" t="str">
        <f>IFERROR(VLOOKUP(I765,'[1]ABC Master Lists'!$B$2:$I$346,8,FALSE)," ")</f>
        <v xml:space="preserve"> </v>
      </c>
      <c r="L765" s="121" t="str">
        <f>IFERROR(VLOOKUP(J765,'[1]ABC Master Lists'!$AQ$2:$AS$12,3,FALSE)," ")</f>
        <v xml:space="preserve"> </v>
      </c>
      <c r="M765" s="121" t="str">
        <f>IFERROR(VLOOKUP(K765,'[1]ABC Master Lists'!$AD$2:$AE$22,2,FALSE), " ")</f>
        <v xml:space="preserve"> </v>
      </c>
    </row>
    <row r="766" spans="4:13" x14ac:dyDescent="0.25">
      <c r="D766" s="26">
        <v>33</v>
      </c>
      <c r="E766" s="51" t="s">
        <v>123</v>
      </c>
      <c r="F766" s="4" t="s">
        <v>2</v>
      </c>
      <c r="G766" s="71" t="s">
        <v>2</v>
      </c>
      <c r="H766" s="36" t="s">
        <v>2</v>
      </c>
      <c r="I766" s="36">
        <v>1</v>
      </c>
      <c r="J766" s="79" t="str">
        <f>IFERROR(VLOOKUP(I766,'[1]ABC Master Lists'!$B$2:$I$346,4,FALSE)," ")</f>
        <v>.</v>
      </c>
      <c r="K766" s="79" t="str">
        <f>IFERROR(VLOOKUP(I766,'[1]ABC Master Lists'!$B$2:$I$346,8,FALSE)," ")</f>
        <v>.</v>
      </c>
      <c r="L766" s="118" t="str">
        <f>IFERROR(VLOOKUP(J766,'[1]ABC Master Lists'!$AQ$2:$AS$12,3,FALSE)," ")</f>
        <v>+</v>
      </c>
      <c r="M766" s="118" t="str">
        <f>IFERROR(VLOOKUP(K766,'[1]ABC Master Lists'!$AD$2:$AE$22,2,FALSE), " ")</f>
        <v>+</v>
      </c>
    </row>
    <row r="767" spans="4:13" x14ac:dyDescent="0.25">
      <c r="D767" s="27">
        <v>34</v>
      </c>
      <c r="E767" s="200" t="s">
        <v>123</v>
      </c>
      <c r="F767" s="17" t="s">
        <v>2</v>
      </c>
      <c r="G767" s="196" t="s">
        <v>2</v>
      </c>
      <c r="H767" s="37" t="s">
        <v>2</v>
      </c>
      <c r="I767" s="37">
        <v>1</v>
      </c>
      <c r="J767" s="81" t="str">
        <f>IFERROR(VLOOKUP(I767,'[1]ABC Master Lists'!$B$2:$I$346,4,FALSE)," ")</f>
        <v>.</v>
      </c>
      <c r="K767" s="81" t="str">
        <f>IFERROR(VLOOKUP(I767,'[1]ABC Master Lists'!$B$2:$I$346,8,FALSE)," ")</f>
        <v>.</v>
      </c>
      <c r="L767" s="120" t="str">
        <f>IFERROR(VLOOKUP(J767,'[1]ABC Master Lists'!$AQ$2:$AS$12,3,FALSE)," ")</f>
        <v>+</v>
      </c>
      <c r="M767" s="120" t="str">
        <f>IFERROR(VLOOKUP(K767,'[1]ABC Master Lists'!$AD$2:$AE$22,2,FALSE), " ")</f>
        <v>+</v>
      </c>
    </row>
    <row r="768" spans="4:13" x14ac:dyDescent="0.25">
      <c r="D768" s="26">
        <v>35</v>
      </c>
      <c r="E768" s="51" t="s">
        <v>123</v>
      </c>
      <c r="F768" s="4" t="s">
        <v>2</v>
      </c>
      <c r="G768" s="71" t="s">
        <v>2</v>
      </c>
      <c r="H768" s="36" t="s">
        <v>2</v>
      </c>
      <c r="I768" s="36">
        <v>1</v>
      </c>
      <c r="J768" s="79" t="str">
        <f>IFERROR(VLOOKUP(I768,'[1]ABC Master Lists'!$B$2:$I$346,4,FALSE)," ")</f>
        <v>.</v>
      </c>
      <c r="K768" s="79" t="str">
        <f>IFERROR(VLOOKUP(I768,'[1]ABC Master Lists'!$B$2:$I$346,8,FALSE)," ")</f>
        <v>.</v>
      </c>
      <c r="L768" s="118" t="str">
        <f>IFERROR(VLOOKUP(J768,'[1]ABC Master Lists'!$AQ$2:$AS$12,3,FALSE)," ")</f>
        <v>+</v>
      </c>
      <c r="M768" s="118" t="str">
        <f>IFERROR(VLOOKUP(K768,'[1]ABC Master Lists'!$AD$2:$AE$22,2,FALSE), " ")</f>
        <v>+</v>
      </c>
    </row>
    <row r="769" spans="1:13" x14ac:dyDescent="0.25">
      <c r="D769" s="27">
        <v>36</v>
      </c>
      <c r="E769" s="200" t="s">
        <v>123</v>
      </c>
      <c r="F769" s="17" t="s">
        <v>2</v>
      </c>
      <c r="G769" s="196" t="s">
        <v>2</v>
      </c>
      <c r="H769" s="37" t="s">
        <v>2</v>
      </c>
      <c r="I769" s="37">
        <v>1</v>
      </c>
      <c r="J769" s="81" t="str">
        <f>IFERROR(VLOOKUP(I769,'[1]ABC Master Lists'!$B$2:$I$346,4,FALSE)," ")</f>
        <v>.</v>
      </c>
      <c r="K769" s="81" t="str">
        <f>IFERROR(VLOOKUP(I769,'[1]ABC Master Lists'!$B$2:$I$346,8,FALSE)," ")</f>
        <v>.</v>
      </c>
      <c r="L769" s="120" t="str">
        <f>IFERROR(VLOOKUP(J769,'[1]ABC Master Lists'!$AQ$2:$AS$12,3,FALSE)," ")</f>
        <v>+</v>
      </c>
      <c r="M769" s="120" t="str">
        <f>IFERROR(VLOOKUP(K769,'[1]ABC Master Lists'!$AD$2:$AE$22,2,FALSE), " ")</f>
        <v>+</v>
      </c>
    </row>
    <row r="770" spans="1:13" x14ac:dyDescent="0.25">
      <c r="D770" s="26">
        <v>37</v>
      </c>
      <c r="E770" s="51" t="s">
        <v>123</v>
      </c>
      <c r="F770" s="4" t="s">
        <v>2</v>
      </c>
      <c r="G770" s="71" t="s">
        <v>2</v>
      </c>
      <c r="H770" s="36" t="s">
        <v>2</v>
      </c>
      <c r="I770" s="36">
        <v>1</v>
      </c>
      <c r="J770" s="79" t="str">
        <f>IFERROR(VLOOKUP(I770,'[1]ABC Master Lists'!$B$2:$I$346,4,FALSE)," ")</f>
        <v>.</v>
      </c>
      <c r="K770" s="79" t="str">
        <f>IFERROR(VLOOKUP(I770,'[1]ABC Master Lists'!$B$2:$I$346,8,FALSE)," ")</f>
        <v>.</v>
      </c>
      <c r="L770" s="118" t="str">
        <f>IFERROR(VLOOKUP(J770,'[1]ABC Master Lists'!$AQ$2:$AS$12,3,FALSE)," ")</f>
        <v>+</v>
      </c>
      <c r="M770" s="118" t="str">
        <f>IFERROR(VLOOKUP(K770,'[1]ABC Master Lists'!$AD$2:$AE$22,2,FALSE), " ")</f>
        <v>+</v>
      </c>
    </row>
    <row r="771" spans="1:13" x14ac:dyDescent="0.25">
      <c r="D771" s="27">
        <v>38</v>
      </c>
      <c r="E771" s="200" t="s">
        <v>123</v>
      </c>
      <c r="F771" s="17" t="s">
        <v>2</v>
      </c>
      <c r="G771" s="196" t="s">
        <v>2</v>
      </c>
      <c r="H771" s="37" t="s">
        <v>2</v>
      </c>
      <c r="I771" s="37">
        <v>1</v>
      </c>
      <c r="J771" s="81" t="str">
        <f>IFERROR(VLOOKUP(I771,'[1]ABC Master Lists'!$B$2:$I$346,4,FALSE)," ")</f>
        <v>.</v>
      </c>
      <c r="K771" s="81" t="str">
        <f>IFERROR(VLOOKUP(I771,'[1]ABC Master Lists'!$B$2:$I$346,8,FALSE)," ")</f>
        <v>.</v>
      </c>
      <c r="L771" s="120" t="str">
        <f>IFERROR(VLOOKUP(J771,'[1]ABC Master Lists'!$AQ$2:$AS$12,3,FALSE)," ")</f>
        <v>+</v>
      </c>
      <c r="M771" s="120" t="str">
        <f>IFERROR(VLOOKUP(K771,'[1]ABC Master Lists'!$AD$2:$AE$22,2,FALSE), " ")</f>
        <v>+</v>
      </c>
    </row>
    <row r="772" spans="1:13" x14ac:dyDescent="0.25">
      <c r="D772" s="26">
        <v>39</v>
      </c>
      <c r="E772" s="51" t="s">
        <v>123</v>
      </c>
      <c r="F772" s="4" t="s">
        <v>2</v>
      </c>
      <c r="G772" s="71" t="s">
        <v>2</v>
      </c>
      <c r="H772" s="36" t="s">
        <v>2</v>
      </c>
      <c r="I772" s="36">
        <v>1</v>
      </c>
      <c r="J772" s="79" t="str">
        <f>IFERROR(VLOOKUP(I772,'[1]ABC Master Lists'!$B$2:$I$346,4,FALSE)," ")</f>
        <v>.</v>
      </c>
      <c r="K772" s="79" t="str">
        <f>IFERROR(VLOOKUP(I772,'[1]ABC Master Lists'!$B$2:$I$346,8,FALSE)," ")</f>
        <v>.</v>
      </c>
      <c r="L772" s="118" t="str">
        <f>IFERROR(VLOOKUP(J772,'[1]ABC Master Lists'!$AQ$2:$AS$12,3,FALSE)," ")</f>
        <v>+</v>
      </c>
      <c r="M772" s="118" t="str">
        <f>IFERROR(VLOOKUP(K772,'[1]ABC Master Lists'!$AD$2:$AE$22,2,FALSE), " ")</f>
        <v>+</v>
      </c>
    </row>
    <row r="773" spans="1:13" x14ac:dyDescent="0.25">
      <c r="D773" s="27">
        <v>40</v>
      </c>
      <c r="E773" s="200" t="s">
        <v>123</v>
      </c>
      <c r="F773" s="17" t="s">
        <v>2</v>
      </c>
      <c r="G773" s="196" t="s">
        <v>2</v>
      </c>
      <c r="H773" s="37" t="s">
        <v>2</v>
      </c>
      <c r="I773" s="37">
        <v>1</v>
      </c>
      <c r="J773" s="81" t="str">
        <f>IFERROR(VLOOKUP(I773,'[1]ABC Master Lists'!$B$2:$I$346,4,FALSE)," ")</f>
        <v>.</v>
      </c>
      <c r="K773" s="81" t="str">
        <f>IFERROR(VLOOKUP(I773,'[1]ABC Master Lists'!$B$2:$I$346,8,FALSE)," ")</f>
        <v>.</v>
      </c>
      <c r="L773" s="120" t="str">
        <f>IFERROR(VLOOKUP(J773,'[1]ABC Master Lists'!$AQ$2:$AS$12,3,FALSE)," ")</f>
        <v>+</v>
      </c>
      <c r="M773" s="120" t="str">
        <f>IFERROR(VLOOKUP(K773,'[1]ABC Master Lists'!$AD$2:$AE$22,2,FALSE), " ")</f>
        <v>+</v>
      </c>
    </row>
    <row r="774" spans="1:13" x14ac:dyDescent="0.25">
      <c r="A774" s="31">
        <v>2015</v>
      </c>
      <c r="B774" s="31" t="s">
        <v>168</v>
      </c>
      <c r="C774" s="31">
        <v>15208</v>
      </c>
      <c r="D774" s="26">
        <v>1</v>
      </c>
      <c r="E774" s="51" t="s">
        <v>110</v>
      </c>
      <c r="F774" s="4" t="s">
        <v>2</v>
      </c>
      <c r="G774" s="71" t="s">
        <v>2</v>
      </c>
      <c r="H774" s="36" t="s">
        <v>2</v>
      </c>
      <c r="I774" s="36">
        <v>1</v>
      </c>
      <c r="J774" s="79" t="str">
        <f>IFERROR(VLOOKUP(I774,'[1]ABC Master Lists'!$B$2:$I$346,4,FALSE)," ")</f>
        <v>.</v>
      </c>
      <c r="K774" s="79" t="str">
        <f>IFERROR(VLOOKUP(I774,'[1]ABC Master Lists'!$B$2:$I$346,8,FALSE)," ")</f>
        <v>.</v>
      </c>
      <c r="L774" s="118" t="str">
        <f>IFERROR(VLOOKUP(J774,'[1]ABC Master Lists'!$AQ$2:$AS$12,3,FALSE)," ")</f>
        <v>+</v>
      </c>
      <c r="M774" s="118" t="str">
        <f>IFERROR(VLOOKUP(K774,'[1]ABC Master Lists'!$AD$2:$AE$22,2,FALSE), " ")</f>
        <v>+</v>
      </c>
    </row>
    <row r="775" spans="1:13" x14ac:dyDescent="0.25">
      <c r="D775" s="28">
        <v>2</v>
      </c>
      <c r="E775" s="197" t="s">
        <v>77</v>
      </c>
      <c r="F775" s="20">
        <v>3</v>
      </c>
      <c r="G775" s="198" t="s">
        <v>80</v>
      </c>
      <c r="H775" s="44" t="s">
        <v>5</v>
      </c>
      <c r="I775" s="38">
        <v>166</v>
      </c>
      <c r="J775" s="83">
        <f>IFERROR(VLOOKUP(I775,'[1]ABC Master Lists'!$B$2:$I$346,4,FALSE)," ")</f>
        <v>2229</v>
      </c>
      <c r="K775" s="83">
        <f>IFERROR(VLOOKUP(I775,'[1]ABC Master Lists'!$B$2:$I$346,8,FALSE)," ")</f>
        <v>68</v>
      </c>
      <c r="L775" s="122" t="str">
        <f>IFERROR(VLOOKUP(J775,'[1]ABC Master Lists'!$AQ$2:$AS$12,3,FALSE)," ")</f>
        <v>+</v>
      </c>
      <c r="M775" s="122" t="str">
        <f>IFERROR(VLOOKUP(K775,'[1]ABC Master Lists'!$AD$2:$AE$22,2,FALSE), " ")</f>
        <v>+</v>
      </c>
    </row>
    <row r="776" spans="1:13" x14ac:dyDescent="0.25">
      <c r="E776" s="51" t="s">
        <v>112</v>
      </c>
      <c r="F776" s="4">
        <v>0.25</v>
      </c>
      <c r="G776" s="76" t="s">
        <v>54</v>
      </c>
      <c r="H776" s="41" t="s">
        <v>5</v>
      </c>
      <c r="J776" s="79" t="str">
        <f>IFERROR(VLOOKUP(I776,'[1]ABC Master Lists'!$B$2:$I$346,4,FALSE)," ")</f>
        <v xml:space="preserve"> </v>
      </c>
      <c r="K776" s="79" t="str">
        <f>IFERROR(VLOOKUP(I776,'[1]ABC Master Lists'!$B$2:$I$346,8,FALSE)," ")</f>
        <v xml:space="preserve"> </v>
      </c>
      <c r="L776" s="118" t="str">
        <f>IFERROR(VLOOKUP(J776,'[1]ABC Master Lists'!$AQ$2:$AS$12,3,FALSE)," ")</f>
        <v xml:space="preserve"> </v>
      </c>
      <c r="M776" s="118" t="str">
        <f>IFERROR(VLOOKUP(K776,'[1]ABC Master Lists'!$AD$2:$AE$22,2,FALSE), " ")</f>
        <v xml:space="preserve"> </v>
      </c>
    </row>
    <row r="777" spans="1:13" x14ac:dyDescent="0.25">
      <c r="E777" s="51" t="s">
        <v>28</v>
      </c>
      <c r="F777" s="4">
        <v>4</v>
      </c>
      <c r="G777" s="76" t="s">
        <v>80</v>
      </c>
      <c r="H777" s="41" t="s">
        <v>20</v>
      </c>
      <c r="J777" s="79" t="str">
        <f>IFERROR(VLOOKUP(I777,'[1]ABC Master Lists'!$B$2:$I$346,4,FALSE)," ")</f>
        <v xml:space="preserve"> </v>
      </c>
      <c r="K777" s="79" t="str">
        <f>IFERROR(VLOOKUP(I777,'[1]ABC Master Lists'!$B$2:$I$346,8,FALSE)," ")</f>
        <v xml:space="preserve"> </v>
      </c>
      <c r="L777" s="118" t="str">
        <f>IFERROR(VLOOKUP(J777,'[1]ABC Master Lists'!$AQ$2:$AS$12,3,FALSE)," ")</f>
        <v xml:space="preserve"> </v>
      </c>
      <c r="M777" s="118" t="str">
        <f>IFERROR(VLOOKUP(K777,'[1]ABC Master Lists'!$AD$2:$AE$22,2,FALSE), " ")</f>
        <v xml:space="preserve"> </v>
      </c>
    </row>
    <row r="778" spans="1:13" x14ac:dyDescent="0.25">
      <c r="D778" s="29"/>
      <c r="E778" s="100" t="s">
        <v>112</v>
      </c>
      <c r="F778" s="23">
        <v>0.25</v>
      </c>
      <c r="G778" s="199" t="s">
        <v>54</v>
      </c>
      <c r="H778" s="47" t="s">
        <v>20</v>
      </c>
      <c r="I778" s="39"/>
      <c r="J778" s="82" t="str">
        <f>IFERROR(VLOOKUP(I778,'[1]ABC Master Lists'!$B$2:$I$346,4,FALSE)," ")</f>
        <v xml:space="preserve"> </v>
      </c>
      <c r="K778" s="82" t="str">
        <f>IFERROR(VLOOKUP(I778,'[1]ABC Master Lists'!$B$2:$I$346,8,FALSE)," ")</f>
        <v xml:space="preserve"> </v>
      </c>
      <c r="L778" s="121" t="str">
        <f>IFERROR(VLOOKUP(J778,'[1]ABC Master Lists'!$AQ$2:$AS$12,3,FALSE)," ")</f>
        <v xml:space="preserve"> </v>
      </c>
      <c r="M778" s="121" t="str">
        <f>IFERROR(VLOOKUP(K778,'[1]ABC Master Lists'!$AD$2:$AE$22,2,FALSE), " ")</f>
        <v xml:space="preserve"> </v>
      </c>
    </row>
    <row r="779" spans="1:13" x14ac:dyDescent="0.25">
      <c r="D779" s="26">
        <v>3</v>
      </c>
      <c r="E779" s="51" t="s">
        <v>18</v>
      </c>
      <c r="F779" s="4">
        <v>6</v>
      </c>
      <c r="G779" s="76" t="s">
        <v>80</v>
      </c>
      <c r="H779" s="41" t="s">
        <v>5</v>
      </c>
      <c r="I779" s="36">
        <v>52</v>
      </c>
      <c r="J779" s="79">
        <f>IFERROR(VLOOKUP(I779,'[1]ABC Master Lists'!$B$2:$I$346,4,FALSE)," ")</f>
        <v>18</v>
      </c>
      <c r="K779" s="79">
        <f>IFERROR(VLOOKUP(I779,'[1]ABC Master Lists'!$B$2:$I$346,8,FALSE)," ")</f>
        <v>6</v>
      </c>
      <c r="L779" s="118" t="str">
        <f>IFERROR(VLOOKUP(J779,'[1]ABC Master Lists'!$AQ$2:$AS$12,3,FALSE)," ")</f>
        <v>+</v>
      </c>
      <c r="M779" s="118" t="str">
        <f>IFERROR(VLOOKUP(K779,'[1]ABC Master Lists'!$AD$2:$AE$22,2,FALSE), " ")</f>
        <v>+</v>
      </c>
    </row>
    <row r="780" spans="1:13" x14ac:dyDescent="0.25">
      <c r="E780" s="51" t="s">
        <v>112</v>
      </c>
      <c r="F780" s="4">
        <v>0.25</v>
      </c>
      <c r="G780" s="76" t="s">
        <v>54</v>
      </c>
      <c r="H780" s="41" t="s">
        <v>5</v>
      </c>
      <c r="J780" s="79" t="str">
        <f>IFERROR(VLOOKUP(I780,'[1]ABC Master Lists'!$B$2:$I$346,4,FALSE)," ")</f>
        <v xml:space="preserve"> </v>
      </c>
      <c r="K780" s="79" t="str">
        <f>IFERROR(VLOOKUP(I780,'[1]ABC Master Lists'!$B$2:$I$346,8,FALSE)," ")</f>
        <v xml:space="preserve"> </v>
      </c>
      <c r="L780" s="118" t="str">
        <f>IFERROR(VLOOKUP(J780,'[1]ABC Master Lists'!$AQ$2:$AS$12,3,FALSE)," ")</f>
        <v xml:space="preserve"> </v>
      </c>
      <c r="M780" s="118" t="str">
        <f>IFERROR(VLOOKUP(K780,'[1]ABC Master Lists'!$AD$2:$AE$22,2,FALSE), " ")</f>
        <v xml:space="preserve"> </v>
      </c>
    </row>
    <row r="781" spans="1:13" x14ac:dyDescent="0.25">
      <c r="D781" s="28">
        <v>4</v>
      </c>
      <c r="E781" s="197" t="s">
        <v>68</v>
      </c>
      <c r="F781" s="20">
        <v>0.75</v>
      </c>
      <c r="G781" s="198" t="s">
        <v>61</v>
      </c>
      <c r="H781" s="44" t="s">
        <v>5</v>
      </c>
      <c r="I781" s="38">
        <v>138</v>
      </c>
      <c r="J781" s="83">
        <f>IFERROR(VLOOKUP(I781,'[1]ABC Master Lists'!$B$2:$I$346,4,FALSE)," ")</f>
        <v>11</v>
      </c>
      <c r="K781" s="83">
        <f>IFERROR(VLOOKUP(I781,'[1]ABC Master Lists'!$B$2:$I$346,8,FALSE)," ")</f>
        <v>6</v>
      </c>
      <c r="L781" s="122" t="str">
        <f>IFERROR(VLOOKUP(J781,'[1]ABC Master Lists'!$AQ$2:$AS$12,3,FALSE)," ")</f>
        <v>+</v>
      </c>
      <c r="M781" s="122" t="str">
        <f>IFERROR(VLOOKUP(K781,'[1]ABC Master Lists'!$AD$2:$AE$22,2,FALSE), " ")</f>
        <v>+</v>
      </c>
    </row>
    <row r="782" spans="1:13" x14ac:dyDescent="0.25">
      <c r="D782" s="29"/>
      <c r="E782" s="100" t="s">
        <v>112</v>
      </c>
      <c r="F782" s="23">
        <v>0.25</v>
      </c>
      <c r="G782" s="199" t="s">
        <v>54</v>
      </c>
      <c r="H782" s="47" t="s">
        <v>5</v>
      </c>
      <c r="I782" s="39"/>
      <c r="J782" s="82" t="str">
        <f>IFERROR(VLOOKUP(I782,'[1]ABC Master Lists'!$B$2:$I$346,4,FALSE)," ")</f>
        <v xml:space="preserve"> </v>
      </c>
      <c r="K782" s="82" t="str">
        <f>IFERROR(VLOOKUP(I782,'[1]ABC Master Lists'!$B$2:$I$346,8,FALSE)," ")</f>
        <v xml:space="preserve"> </v>
      </c>
      <c r="L782" s="121" t="str">
        <f>IFERROR(VLOOKUP(J782,'[1]ABC Master Lists'!$AQ$2:$AS$12,3,FALSE)," ")</f>
        <v xml:space="preserve"> </v>
      </c>
      <c r="M782" s="121" t="str">
        <f>IFERROR(VLOOKUP(K782,'[1]ABC Master Lists'!$AD$2:$AE$22,2,FALSE), " ")</f>
        <v xml:space="preserve"> </v>
      </c>
    </row>
    <row r="783" spans="1:13" x14ac:dyDescent="0.25">
      <c r="D783" s="26">
        <v>5</v>
      </c>
      <c r="E783" s="51" t="s">
        <v>68</v>
      </c>
      <c r="F783" s="4">
        <v>0.75</v>
      </c>
      <c r="G783" s="76" t="s">
        <v>61</v>
      </c>
      <c r="H783" s="41" t="s">
        <v>5</v>
      </c>
      <c r="I783" s="36">
        <v>136</v>
      </c>
      <c r="J783" s="79">
        <f>IFERROR(VLOOKUP(I783,'[1]ABC Master Lists'!$B$2:$I$346,4,FALSE)," ")</f>
        <v>111221</v>
      </c>
      <c r="K783" s="79">
        <f>IFERROR(VLOOKUP(I783,'[1]ABC Master Lists'!$B$2:$I$346,8,FALSE)," ")</f>
        <v>68</v>
      </c>
      <c r="L783" s="118" t="str">
        <f>IFERROR(VLOOKUP(J783,'[1]ABC Master Lists'!$AQ$2:$AS$12,3,FALSE)," ")</f>
        <v xml:space="preserve"> </v>
      </c>
      <c r="M783" s="118" t="str">
        <f>IFERROR(VLOOKUP(K783,'[1]ABC Master Lists'!$AD$2:$AE$22,2,FALSE), " ")</f>
        <v>+</v>
      </c>
    </row>
    <row r="784" spans="1:13" x14ac:dyDescent="0.25">
      <c r="E784" s="51" t="s">
        <v>112</v>
      </c>
      <c r="F784" s="4">
        <v>0.25</v>
      </c>
      <c r="G784" s="76" t="s">
        <v>54</v>
      </c>
      <c r="H784" s="41" t="s">
        <v>5</v>
      </c>
      <c r="J784" s="79" t="str">
        <f>IFERROR(VLOOKUP(I784,'[1]ABC Master Lists'!$B$2:$I$346,4,FALSE)," ")</f>
        <v xml:space="preserve"> </v>
      </c>
      <c r="K784" s="79" t="str">
        <f>IFERROR(VLOOKUP(I784,'[1]ABC Master Lists'!$B$2:$I$346,8,FALSE)," ")</f>
        <v xml:space="preserve"> </v>
      </c>
      <c r="L784" s="118" t="str">
        <f>IFERROR(VLOOKUP(J784,'[1]ABC Master Lists'!$AQ$2:$AS$12,3,FALSE)," ")</f>
        <v xml:space="preserve"> </v>
      </c>
      <c r="M784" s="118" t="str">
        <f>IFERROR(VLOOKUP(K784,'[1]ABC Master Lists'!$AD$2:$AE$22,2,FALSE), " ")</f>
        <v xml:space="preserve"> </v>
      </c>
    </row>
    <row r="785" spans="4:13" x14ac:dyDescent="0.25">
      <c r="E785" s="51" t="s">
        <v>75</v>
      </c>
      <c r="F785" s="4">
        <v>14.6</v>
      </c>
      <c r="G785" s="76" t="s">
        <v>80</v>
      </c>
      <c r="H785" s="41" t="s">
        <v>20</v>
      </c>
      <c r="J785" s="79" t="str">
        <f>IFERROR(VLOOKUP(I785,'[1]ABC Master Lists'!$B$2:$I$346,4,FALSE)," ")</f>
        <v xml:space="preserve"> </v>
      </c>
      <c r="K785" s="79" t="str">
        <f>IFERROR(VLOOKUP(I785,'[1]ABC Master Lists'!$B$2:$I$346,8,FALSE)," ")</f>
        <v xml:space="preserve"> </v>
      </c>
      <c r="L785" s="118" t="str">
        <f>IFERROR(VLOOKUP(J785,'[1]ABC Master Lists'!$AQ$2:$AS$12,3,FALSE)," ")</f>
        <v xml:space="preserve"> </v>
      </c>
      <c r="M785" s="118" t="str">
        <f>IFERROR(VLOOKUP(K785,'[1]ABC Master Lists'!$AD$2:$AE$22,2,FALSE), " ")</f>
        <v xml:space="preserve"> </v>
      </c>
    </row>
    <row r="786" spans="4:13" x14ac:dyDescent="0.25">
      <c r="E786" s="51" t="s">
        <v>112</v>
      </c>
      <c r="F786" s="4">
        <v>0.25</v>
      </c>
      <c r="G786" s="76" t="s">
        <v>54</v>
      </c>
      <c r="H786" s="41" t="s">
        <v>20</v>
      </c>
      <c r="J786" s="79" t="str">
        <f>IFERROR(VLOOKUP(I786,'[1]ABC Master Lists'!$B$2:$I$346,4,FALSE)," ")</f>
        <v xml:space="preserve"> </v>
      </c>
      <c r="K786" s="79" t="str">
        <f>IFERROR(VLOOKUP(I786,'[1]ABC Master Lists'!$B$2:$I$346,8,FALSE)," ")</f>
        <v xml:space="preserve"> </v>
      </c>
      <c r="L786" s="118" t="str">
        <f>IFERROR(VLOOKUP(J786,'[1]ABC Master Lists'!$AQ$2:$AS$12,3,FALSE)," ")</f>
        <v xml:space="preserve"> </v>
      </c>
      <c r="M786" s="118" t="str">
        <f>IFERROR(VLOOKUP(K786,'[1]ABC Master Lists'!$AD$2:$AE$22,2,FALSE), " ")</f>
        <v xml:space="preserve"> </v>
      </c>
    </row>
    <row r="787" spans="4:13" x14ac:dyDescent="0.25">
      <c r="D787" s="27">
        <v>6</v>
      </c>
      <c r="E787" s="200" t="s">
        <v>35</v>
      </c>
      <c r="F787" s="17">
        <v>20</v>
      </c>
      <c r="G787" s="201" t="s">
        <v>80</v>
      </c>
      <c r="H787" s="86" t="s">
        <v>5</v>
      </c>
      <c r="I787" s="37">
        <v>210</v>
      </c>
      <c r="J787" s="81">
        <f>IFERROR(VLOOKUP(I787,'[1]ABC Master Lists'!$B$2:$I$346,4,FALSE)," ")</f>
        <v>28</v>
      </c>
      <c r="K787" s="81">
        <f>IFERROR(VLOOKUP(I787,'[1]ABC Master Lists'!$B$2:$I$346,8,FALSE)," ")</f>
        <v>6</v>
      </c>
      <c r="L787" s="120" t="str">
        <f>IFERROR(VLOOKUP(J787,'[1]ABC Master Lists'!$AQ$2:$AS$12,3,FALSE)," ")</f>
        <v>+</v>
      </c>
      <c r="M787" s="120" t="str">
        <f>IFERROR(VLOOKUP(K787,'[1]ABC Master Lists'!$AD$2:$AE$22,2,FALSE), " ")</f>
        <v>+</v>
      </c>
    </row>
    <row r="788" spans="4:13" x14ac:dyDescent="0.25">
      <c r="D788" s="26">
        <v>7</v>
      </c>
      <c r="E788" s="51" t="s">
        <v>113</v>
      </c>
      <c r="F788" s="4">
        <v>9</v>
      </c>
      <c r="G788" s="76" t="s">
        <v>80</v>
      </c>
      <c r="H788" s="41" t="s">
        <v>5</v>
      </c>
      <c r="I788" s="36">
        <v>17</v>
      </c>
      <c r="J788" s="79">
        <f>IFERROR(VLOOKUP(I788,'[1]ABC Master Lists'!$B$2:$I$346,4,FALSE)," ")</f>
        <v>20</v>
      </c>
      <c r="K788" s="79">
        <f>IFERROR(VLOOKUP(I788,'[1]ABC Master Lists'!$B$2:$I$346,8,FALSE)," ")</f>
        <v>6</v>
      </c>
      <c r="L788" s="118" t="str">
        <f>IFERROR(VLOOKUP(J788,'[1]ABC Master Lists'!$AQ$2:$AS$12,3,FALSE)," ")</f>
        <v>+</v>
      </c>
      <c r="M788" s="118" t="str">
        <f>IFERROR(VLOOKUP(K788,'[1]ABC Master Lists'!$AD$2:$AE$22,2,FALSE), " ")</f>
        <v>+</v>
      </c>
    </row>
    <row r="789" spans="4:13" x14ac:dyDescent="0.25">
      <c r="E789" s="51" t="s">
        <v>112</v>
      </c>
      <c r="F789" s="4">
        <v>0.25</v>
      </c>
      <c r="G789" s="76" t="s">
        <v>54</v>
      </c>
      <c r="H789" s="41" t="s">
        <v>5</v>
      </c>
      <c r="J789" s="79" t="str">
        <f>IFERROR(VLOOKUP(I789,'[1]ABC Master Lists'!$B$2:$I$346,4,FALSE)," ")</f>
        <v xml:space="preserve"> </v>
      </c>
      <c r="K789" s="79" t="str">
        <f>IFERROR(VLOOKUP(I789,'[1]ABC Master Lists'!$B$2:$I$346,8,FALSE)," ")</f>
        <v xml:space="preserve"> </v>
      </c>
      <c r="L789" s="118" t="str">
        <f>IFERROR(VLOOKUP(J789,'[1]ABC Master Lists'!$AQ$2:$AS$12,3,FALSE)," ")</f>
        <v xml:space="preserve"> </v>
      </c>
      <c r="M789" s="118" t="str">
        <f>IFERROR(VLOOKUP(K789,'[1]ABC Master Lists'!$AD$2:$AE$22,2,FALSE), " ")</f>
        <v xml:space="preserve"> </v>
      </c>
    </row>
    <row r="790" spans="4:13" x14ac:dyDescent="0.25">
      <c r="D790" s="28">
        <v>8</v>
      </c>
      <c r="E790" s="197" t="s">
        <v>113</v>
      </c>
      <c r="F790" s="20">
        <v>9</v>
      </c>
      <c r="G790" s="198" t="s">
        <v>80</v>
      </c>
      <c r="H790" s="44" t="s">
        <v>20</v>
      </c>
      <c r="I790" s="38">
        <v>19</v>
      </c>
      <c r="J790" s="83">
        <f>IFERROR(VLOOKUP(I790,'[1]ABC Master Lists'!$B$2:$I$346,4,FALSE)," ")</f>
        <v>20</v>
      </c>
      <c r="K790" s="83">
        <f>IFERROR(VLOOKUP(I790,'[1]ABC Master Lists'!$B$2:$I$346,8,FALSE)," ")</f>
        <v>8</v>
      </c>
      <c r="L790" s="122" t="str">
        <f>IFERROR(VLOOKUP(J790,'[1]ABC Master Lists'!$AQ$2:$AS$12,3,FALSE)," ")</f>
        <v>+</v>
      </c>
      <c r="M790" s="122" t="str">
        <f>IFERROR(VLOOKUP(K790,'[1]ABC Master Lists'!$AD$2:$AE$22,2,FALSE), " ")</f>
        <v>+</v>
      </c>
    </row>
    <row r="791" spans="4:13" x14ac:dyDescent="0.25">
      <c r="D791" s="29"/>
      <c r="E791" s="100" t="s">
        <v>112</v>
      </c>
      <c r="F791" s="23">
        <v>0.25</v>
      </c>
      <c r="G791" s="199" t="s">
        <v>54</v>
      </c>
      <c r="H791" s="47" t="s">
        <v>20</v>
      </c>
      <c r="I791" s="39"/>
      <c r="J791" s="82" t="str">
        <f>IFERROR(VLOOKUP(I791,'[1]ABC Master Lists'!$B$2:$I$346,4,FALSE)," ")</f>
        <v xml:space="preserve"> </v>
      </c>
      <c r="K791" s="82" t="str">
        <f>IFERROR(VLOOKUP(I791,'[1]ABC Master Lists'!$B$2:$I$346,8,FALSE)," ")</f>
        <v xml:space="preserve"> </v>
      </c>
      <c r="L791" s="121" t="str">
        <f>IFERROR(VLOOKUP(J791,'[1]ABC Master Lists'!$AQ$2:$AS$12,3,FALSE)," ")</f>
        <v xml:space="preserve"> </v>
      </c>
      <c r="M791" s="121" t="str">
        <f>IFERROR(VLOOKUP(K791,'[1]ABC Master Lists'!$AD$2:$AE$22,2,FALSE), " ")</f>
        <v xml:space="preserve"> </v>
      </c>
    </row>
    <row r="792" spans="4:13" x14ac:dyDescent="0.25">
      <c r="D792" s="26">
        <v>9</v>
      </c>
      <c r="E792" s="51" t="s">
        <v>113</v>
      </c>
      <c r="F792" s="4">
        <v>9</v>
      </c>
      <c r="G792" s="76" t="s">
        <v>80</v>
      </c>
      <c r="H792" s="41" t="s">
        <v>5</v>
      </c>
      <c r="I792" s="36">
        <v>23</v>
      </c>
      <c r="J792" s="79">
        <f>IFERROR(VLOOKUP(I792,'[1]ABC Master Lists'!$B$2:$I$346,4,FALSE)," ")</f>
        <v>20</v>
      </c>
      <c r="K792" s="79">
        <f>IFERROR(VLOOKUP(I792,'[1]ABC Master Lists'!$B$2:$I$346,8,FALSE)," ")</f>
        <v>68</v>
      </c>
      <c r="L792" s="118" t="str">
        <f>IFERROR(VLOOKUP(J792,'[1]ABC Master Lists'!$AQ$2:$AS$12,3,FALSE)," ")</f>
        <v>+</v>
      </c>
      <c r="M792" s="118" t="str">
        <f>IFERROR(VLOOKUP(K792,'[1]ABC Master Lists'!$AD$2:$AE$22,2,FALSE), " ")</f>
        <v>+</v>
      </c>
    </row>
    <row r="793" spans="4:13" x14ac:dyDescent="0.25">
      <c r="E793" s="51" t="s">
        <v>112</v>
      </c>
      <c r="F793" s="4">
        <v>0.25</v>
      </c>
      <c r="G793" s="76" t="s">
        <v>54</v>
      </c>
      <c r="H793" s="41" t="s">
        <v>5</v>
      </c>
      <c r="J793" s="79" t="str">
        <f>IFERROR(VLOOKUP(I793,'[1]ABC Master Lists'!$B$2:$I$346,4,FALSE)," ")</f>
        <v xml:space="preserve"> </v>
      </c>
      <c r="K793" s="79" t="str">
        <f>IFERROR(VLOOKUP(I793,'[1]ABC Master Lists'!$B$2:$I$346,8,FALSE)," ")</f>
        <v xml:space="preserve"> </v>
      </c>
      <c r="L793" s="118" t="str">
        <f>IFERROR(VLOOKUP(J793,'[1]ABC Master Lists'!$AQ$2:$AS$12,3,FALSE)," ")</f>
        <v xml:space="preserve"> </v>
      </c>
      <c r="M793" s="118" t="str">
        <f>IFERROR(VLOOKUP(K793,'[1]ABC Master Lists'!$AD$2:$AE$22,2,FALSE), " ")</f>
        <v xml:space="preserve"> </v>
      </c>
    </row>
    <row r="794" spans="4:13" x14ac:dyDescent="0.25">
      <c r="E794" s="51" t="s">
        <v>113</v>
      </c>
      <c r="F794" s="4">
        <v>9</v>
      </c>
      <c r="G794" s="76" t="s">
        <v>80</v>
      </c>
      <c r="H794" s="41" t="s">
        <v>20</v>
      </c>
      <c r="J794" s="79" t="str">
        <f>IFERROR(VLOOKUP(I794,'[1]ABC Master Lists'!$B$2:$I$346,4,FALSE)," ")</f>
        <v xml:space="preserve"> </v>
      </c>
      <c r="K794" s="79" t="str">
        <f>IFERROR(VLOOKUP(I794,'[1]ABC Master Lists'!$B$2:$I$346,8,FALSE)," ")</f>
        <v xml:space="preserve"> </v>
      </c>
      <c r="L794" s="118" t="str">
        <f>IFERROR(VLOOKUP(J794,'[1]ABC Master Lists'!$AQ$2:$AS$12,3,FALSE)," ")</f>
        <v xml:space="preserve"> </v>
      </c>
      <c r="M794" s="118" t="str">
        <f>IFERROR(VLOOKUP(K794,'[1]ABC Master Lists'!$AD$2:$AE$22,2,FALSE), " ")</f>
        <v xml:space="preserve"> </v>
      </c>
    </row>
    <row r="795" spans="4:13" x14ac:dyDescent="0.25">
      <c r="E795" s="51" t="s">
        <v>112</v>
      </c>
      <c r="F795" s="4">
        <v>0.25</v>
      </c>
      <c r="G795" s="76" t="s">
        <v>54</v>
      </c>
      <c r="H795" s="41" t="s">
        <v>20</v>
      </c>
      <c r="J795" s="79" t="str">
        <f>IFERROR(VLOOKUP(I795,'[1]ABC Master Lists'!$B$2:$I$346,4,FALSE)," ")</f>
        <v xml:space="preserve"> </v>
      </c>
      <c r="K795" s="79" t="str">
        <f>IFERROR(VLOOKUP(I795,'[1]ABC Master Lists'!$B$2:$I$346,8,FALSE)," ")</f>
        <v xml:space="preserve"> </v>
      </c>
      <c r="L795" s="118" t="str">
        <f>IFERROR(VLOOKUP(J795,'[1]ABC Master Lists'!$AQ$2:$AS$12,3,FALSE)," ")</f>
        <v xml:space="preserve"> </v>
      </c>
      <c r="M795" s="118" t="str">
        <f>IFERROR(VLOOKUP(K795,'[1]ABC Master Lists'!$AD$2:$AE$22,2,FALSE), " ")</f>
        <v xml:space="preserve"> </v>
      </c>
    </row>
    <row r="796" spans="4:13" x14ac:dyDescent="0.25">
      <c r="D796" s="28">
        <v>10</v>
      </c>
      <c r="E796" s="197" t="s">
        <v>10</v>
      </c>
      <c r="F796" s="20">
        <v>8</v>
      </c>
      <c r="G796" s="198" t="s">
        <v>46</v>
      </c>
      <c r="H796" s="44" t="s">
        <v>5</v>
      </c>
      <c r="I796" s="38">
        <v>90</v>
      </c>
      <c r="J796" s="83">
        <f>IFERROR(VLOOKUP(I796,'[1]ABC Master Lists'!$B$2:$I$346,4,FALSE)," ")</f>
        <v>4</v>
      </c>
      <c r="K796" s="83">
        <f>IFERROR(VLOOKUP(I796,'[1]ABC Master Lists'!$B$2:$I$346,8,FALSE)," ")</f>
        <v>6</v>
      </c>
      <c r="L796" s="122" t="str">
        <f>IFERROR(VLOOKUP(J796,'[1]ABC Master Lists'!$AQ$2:$AS$12,3,FALSE)," ")</f>
        <v>+</v>
      </c>
      <c r="M796" s="122" t="str">
        <f>IFERROR(VLOOKUP(K796,'[1]ABC Master Lists'!$AD$2:$AE$22,2,FALSE), " ")</f>
        <v>+</v>
      </c>
    </row>
    <row r="797" spans="4:13" x14ac:dyDescent="0.25">
      <c r="D797" s="29"/>
      <c r="E797" s="100" t="s">
        <v>112</v>
      </c>
      <c r="F797" s="23">
        <v>0.25</v>
      </c>
      <c r="G797" s="199" t="s">
        <v>54</v>
      </c>
      <c r="H797" s="47" t="s">
        <v>5</v>
      </c>
      <c r="I797" s="39"/>
      <c r="J797" s="82" t="str">
        <f>IFERROR(VLOOKUP(I797,'[1]ABC Master Lists'!$B$2:$I$346,4,FALSE)," ")</f>
        <v xml:space="preserve"> </v>
      </c>
      <c r="K797" s="82" t="str">
        <f>IFERROR(VLOOKUP(I797,'[1]ABC Master Lists'!$B$2:$I$346,8,FALSE)," ")</f>
        <v xml:space="preserve"> </v>
      </c>
      <c r="L797" s="121" t="str">
        <f>IFERROR(VLOOKUP(J797,'[1]ABC Master Lists'!$AQ$2:$AS$12,3,FALSE)," ")</f>
        <v xml:space="preserve"> </v>
      </c>
      <c r="M797" s="121" t="str">
        <f>IFERROR(VLOOKUP(K797,'[1]ABC Master Lists'!$AD$2:$AE$22,2,FALSE), " ")</f>
        <v xml:space="preserve"> </v>
      </c>
    </row>
    <row r="798" spans="4:13" x14ac:dyDescent="0.25">
      <c r="D798" s="26">
        <v>11</v>
      </c>
      <c r="E798" s="51" t="s">
        <v>77</v>
      </c>
      <c r="F798" s="4">
        <v>5</v>
      </c>
      <c r="G798" s="76" t="s">
        <v>80</v>
      </c>
      <c r="H798" s="41" t="s">
        <v>5</v>
      </c>
      <c r="I798" s="36">
        <v>158</v>
      </c>
      <c r="J798" s="79">
        <f>IFERROR(VLOOKUP(I798,'[1]ABC Master Lists'!$B$2:$I$346,4,FALSE)," ")</f>
        <v>22</v>
      </c>
      <c r="K798" s="79">
        <f>IFERROR(VLOOKUP(I798,'[1]ABC Master Lists'!$B$2:$I$346,8,FALSE)," ")</f>
        <v>3</v>
      </c>
      <c r="L798" s="118" t="str">
        <f>IFERROR(VLOOKUP(J798,'[1]ABC Master Lists'!$AQ$2:$AS$12,3,FALSE)," ")</f>
        <v>+</v>
      </c>
    </row>
    <row r="799" spans="4:13" x14ac:dyDescent="0.25">
      <c r="E799" s="51" t="s">
        <v>112</v>
      </c>
      <c r="F799" s="4">
        <v>0.25</v>
      </c>
      <c r="G799" s="76" t="s">
        <v>54</v>
      </c>
      <c r="H799" s="41" t="s">
        <v>5</v>
      </c>
      <c r="J799" s="79" t="str">
        <f>IFERROR(VLOOKUP(I799,'[1]ABC Master Lists'!$B$2:$I$346,4,FALSE)," ")</f>
        <v xml:space="preserve"> </v>
      </c>
      <c r="K799" s="79" t="str">
        <f>IFERROR(VLOOKUP(I799,'[1]ABC Master Lists'!$B$2:$I$346,8,FALSE)," ")</f>
        <v xml:space="preserve"> </v>
      </c>
      <c r="L799" s="118" t="str">
        <f>IFERROR(VLOOKUP(J799,'[1]ABC Master Lists'!$AQ$2:$AS$12,3,FALSE)," ")</f>
        <v xml:space="preserve"> </v>
      </c>
      <c r="M799" s="118" t="str">
        <f>IFERROR(VLOOKUP(K799,'[1]ABC Master Lists'!$AD$2:$AE$22,2,FALSE), " ")</f>
        <v xml:space="preserve"> </v>
      </c>
    </row>
    <row r="800" spans="4:13" x14ac:dyDescent="0.25">
      <c r="D800" s="28">
        <v>12</v>
      </c>
      <c r="E800" s="197" t="s">
        <v>77</v>
      </c>
      <c r="F800" s="20">
        <v>5</v>
      </c>
      <c r="G800" s="198" t="s">
        <v>80</v>
      </c>
      <c r="H800" s="44" t="s">
        <v>20</v>
      </c>
      <c r="I800" s="38">
        <v>160</v>
      </c>
      <c r="J800" s="83">
        <f>IFERROR(VLOOKUP(I800,'[1]ABC Master Lists'!$B$2:$I$346,4,FALSE)," ")</f>
        <v>22</v>
      </c>
      <c r="K800" s="83">
        <f>IFERROR(VLOOKUP(I800,'[1]ABC Master Lists'!$B$2:$I$346,8,FALSE)," ")</f>
        <v>8</v>
      </c>
      <c r="L800" s="122" t="str">
        <f>IFERROR(VLOOKUP(J800,'[1]ABC Master Lists'!$AQ$2:$AS$12,3,FALSE)," ")</f>
        <v>+</v>
      </c>
      <c r="M800" s="122" t="str">
        <f>IFERROR(VLOOKUP(K800,'[1]ABC Master Lists'!$AD$2:$AE$22,2,FALSE), " ")</f>
        <v>+</v>
      </c>
    </row>
    <row r="801" spans="1:13" x14ac:dyDescent="0.25">
      <c r="D801" s="29"/>
      <c r="E801" s="100" t="s">
        <v>112</v>
      </c>
      <c r="F801" s="23">
        <v>0.25</v>
      </c>
      <c r="G801" s="199" t="s">
        <v>54</v>
      </c>
      <c r="H801" s="47" t="s">
        <v>20</v>
      </c>
      <c r="I801" s="39"/>
      <c r="J801" s="82" t="str">
        <f>IFERROR(VLOOKUP(I801,'[1]ABC Master Lists'!$B$2:$I$346,4,FALSE)," ")</f>
        <v xml:space="preserve"> </v>
      </c>
      <c r="K801" s="82" t="str">
        <f>IFERROR(VLOOKUP(I801,'[1]ABC Master Lists'!$B$2:$I$346,8,FALSE)," ")</f>
        <v xml:space="preserve"> </v>
      </c>
      <c r="L801" s="121" t="str">
        <f>IFERROR(VLOOKUP(J801,'[1]ABC Master Lists'!$AQ$2:$AS$12,3,FALSE)," ")</f>
        <v xml:space="preserve"> </v>
      </c>
      <c r="M801" s="121" t="str">
        <f>IFERROR(VLOOKUP(K801,'[1]ABC Master Lists'!$AD$2:$AE$22,2,FALSE), " ")</f>
        <v xml:space="preserve"> </v>
      </c>
    </row>
    <row r="802" spans="1:13" x14ac:dyDescent="0.25">
      <c r="D802" s="26">
        <v>13</v>
      </c>
      <c r="E802" s="51" t="s">
        <v>124</v>
      </c>
      <c r="F802" s="4">
        <v>5</v>
      </c>
      <c r="G802" s="76" t="s">
        <v>80</v>
      </c>
      <c r="H802" s="41" t="s">
        <v>5</v>
      </c>
      <c r="I802" s="36">
        <v>106</v>
      </c>
      <c r="J802" s="79">
        <f>IFERROR(VLOOKUP(I802,'[1]ABC Master Lists'!$B$2:$I$346,4,FALSE)," ")</f>
        <v>1415</v>
      </c>
      <c r="K802" s="79">
        <f>IFERROR(VLOOKUP(I802,'[1]ABC Master Lists'!$B$2:$I$346,8,FALSE)," ")</f>
        <v>6</v>
      </c>
      <c r="L802" s="118" t="str">
        <f>IFERROR(VLOOKUP(J802,'[1]ABC Master Lists'!$AQ$2:$AS$12,3,FALSE)," ")</f>
        <v>+</v>
      </c>
      <c r="M802" s="118" t="str">
        <f>IFERROR(VLOOKUP(K802,'[1]ABC Master Lists'!$AD$2:$AE$22,2,FALSE), " ")</f>
        <v>+</v>
      </c>
    </row>
    <row r="803" spans="1:13" x14ac:dyDescent="0.25">
      <c r="D803" s="27">
        <v>14</v>
      </c>
      <c r="E803" s="200" t="s">
        <v>124</v>
      </c>
      <c r="F803" s="17">
        <v>5</v>
      </c>
      <c r="G803" s="201" t="s">
        <v>80</v>
      </c>
      <c r="H803" s="86" t="s">
        <v>20</v>
      </c>
      <c r="I803" s="37">
        <v>108</v>
      </c>
      <c r="J803" s="81">
        <f>IFERROR(VLOOKUP(I803,'[1]ABC Master Lists'!$B$2:$I$346,4,FALSE)," ")</f>
        <v>1415</v>
      </c>
      <c r="K803" s="81">
        <f>IFERROR(VLOOKUP(I803,'[1]ABC Master Lists'!$B$2:$I$346,8,FALSE)," ")</f>
        <v>8</v>
      </c>
      <c r="L803" s="120" t="str">
        <f>IFERROR(VLOOKUP(J803,'[1]ABC Master Lists'!$AQ$2:$AS$12,3,FALSE)," ")</f>
        <v>+</v>
      </c>
      <c r="M803" s="120" t="str">
        <f>IFERROR(VLOOKUP(K803,'[1]ABC Master Lists'!$AD$2:$AE$22,2,FALSE), " ")</f>
        <v>+</v>
      </c>
    </row>
    <row r="804" spans="1:13" x14ac:dyDescent="0.25">
      <c r="D804" s="26">
        <v>15</v>
      </c>
      <c r="E804" s="51" t="s">
        <v>125</v>
      </c>
      <c r="F804" s="4">
        <v>4</v>
      </c>
      <c r="G804" s="76" t="s">
        <v>80</v>
      </c>
      <c r="H804" s="41" t="s">
        <v>20</v>
      </c>
      <c r="I804" s="36">
        <v>200</v>
      </c>
      <c r="J804" s="79">
        <f>IFERROR(VLOOKUP(I804,'[1]ABC Master Lists'!$B$2:$I$346,4,FALSE)," ")</f>
        <v>2229</v>
      </c>
      <c r="K804" s="79">
        <f>IFERROR(VLOOKUP(I804,'[1]ABC Master Lists'!$B$2:$I$346,8,FALSE)," ")</f>
        <v>8</v>
      </c>
      <c r="L804" s="118" t="str">
        <f>IFERROR(VLOOKUP(J804,'[1]ABC Master Lists'!$AQ$2:$AS$12,3,FALSE)," ")</f>
        <v>+</v>
      </c>
      <c r="M804" s="118" t="str">
        <f>IFERROR(VLOOKUP(K804,'[1]ABC Master Lists'!$AD$2:$AE$22,2,FALSE), " ")</f>
        <v>+</v>
      </c>
    </row>
    <row r="805" spans="1:13" x14ac:dyDescent="0.25">
      <c r="D805" s="27">
        <v>16</v>
      </c>
      <c r="E805" s="200" t="s">
        <v>15</v>
      </c>
      <c r="F805" s="17">
        <v>5</v>
      </c>
      <c r="G805" s="201" t="s">
        <v>46</v>
      </c>
      <c r="H805" s="86" t="s">
        <v>5</v>
      </c>
      <c r="I805" s="37">
        <v>74</v>
      </c>
      <c r="J805" s="81">
        <f>IFERROR(VLOOKUP(I805,'[1]ABC Master Lists'!$B$2:$I$346,4,FALSE)," ")</f>
        <v>26</v>
      </c>
      <c r="K805" s="81">
        <f>IFERROR(VLOOKUP(I805,'[1]ABC Master Lists'!$B$2:$I$346,8,FALSE)," ")</f>
        <v>6</v>
      </c>
      <c r="L805" s="120" t="str">
        <f>IFERROR(VLOOKUP(J805,'[1]ABC Master Lists'!$AQ$2:$AS$12,3,FALSE)," ")</f>
        <v>+</v>
      </c>
      <c r="M805" s="120" t="str">
        <f>IFERROR(VLOOKUP(K805,'[1]ABC Master Lists'!$AD$2:$AE$22,2,FALSE), " ")</f>
        <v>+</v>
      </c>
    </row>
    <row r="806" spans="1:13" x14ac:dyDescent="0.25">
      <c r="D806" s="26">
        <v>17</v>
      </c>
      <c r="E806" s="51" t="s">
        <v>15</v>
      </c>
      <c r="F806" s="4">
        <v>6</v>
      </c>
      <c r="G806" s="76" t="s">
        <v>46</v>
      </c>
      <c r="H806" s="41" t="s">
        <v>5</v>
      </c>
      <c r="I806" s="36">
        <v>77</v>
      </c>
      <c r="J806" s="79">
        <f>IFERROR(VLOOKUP(I806,'[1]ABC Master Lists'!$B$2:$I$346,4,FALSE)," ")</f>
        <v>26</v>
      </c>
      <c r="K806" s="79">
        <f>IFERROR(VLOOKUP(I806,'[1]ABC Master Lists'!$B$2:$I$346,8,FALSE)," ")</f>
        <v>6</v>
      </c>
      <c r="L806" s="118" t="str">
        <f>IFERROR(VLOOKUP(J806,'[1]ABC Master Lists'!$AQ$2:$AS$12,3,FALSE)," ")</f>
        <v>+</v>
      </c>
      <c r="M806" s="118" t="str">
        <f>IFERROR(VLOOKUP(K806,'[1]ABC Master Lists'!$AD$2:$AE$22,2,FALSE), " ")</f>
        <v>+</v>
      </c>
    </row>
    <row r="807" spans="1:13" x14ac:dyDescent="0.25">
      <c r="D807" s="27">
        <v>18</v>
      </c>
      <c r="E807" s="200" t="s">
        <v>15</v>
      </c>
      <c r="F807" s="17">
        <v>5</v>
      </c>
      <c r="G807" s="201" t="s">
        <v>46</v>
      </c>
      <c r="H807" s="86" t="s">
        <v>20</v>
      </c>
      <c r="I807" s="37">
        <v>76</v>
      </c>
      <c r="J807" s="81">
        <f>IFERROR(VLOOKUP(I807,'[1]ABC Master Lists'!$B$2:$I$346,4,FALSE)," ")</f>
        <v>26</v>
      </c>
      <c r="K807" s="81">
        <f>IFERROR(VLOOKUP(I807,'[1]ABC Master Lists'!$B$2:$I$346,8,FALSE)," ")</f>
        <v>8</v>
      </c>
      <c r="L807" s="120" t="str">
        <f>IFERROR(VLOOKUP(J807,'[1]ABC Master Lists'!$AQ$2:$AS$12,3,FALSE)," ")</f>
        <v>+</v>
      </c>
      <c r="M807" s="120" t="str">
        <f>IFERROR(VLOOKUP(K807,'[1]ABC Master Lists'!$AD$2:$AE$22,2,FALSE), " ")</f>
        <v>+</v>
      </c>
    </row>
    <row r="808" spans="1:13" x14ac:dyDescent="0.25">
      <c r="D808" s="26">
        <v>19</v>
      </c>
      <c r="E808" s="51" t="s">
        <v>15</v>
      </c>
      <c r="F808" s="4">
        <v>6</v>
      </c>
      <c r="G808" s="76" t="s">
        <v>46</v>
      </c>
      <c r="H808" s="41" t="s">
        <v>20</v>
      </c>
      <c r="I808" s="36">
        <v>78</v>
      </c>
      <c r="J808" s="79">
        <f>IFERROR(VLOOKUP(I808,'[1]ABC Master Lists'!$B$2:$I$346,4,FALSE)," ")</f>
        <v>26</v>
      </c>
      <c r="K808" s="79">
        <f>IFERROR(VLOOKUP(I808,'[1]ABC Master Lists'!$B$2:$I$346,8,FALSE)," ")</f>
        <v>8</v>
      </c>
      <c r="L808" s="118" t="str">
        <f>IFERROR(VLOOKUP(J808,'[1]ABC Master Lists'!$AQ$2:$AS$12,3,FALSE)," ")</f>
        <v>+</v>
      </c>
      <c r="M808" s="118" t="str">
        <f>IFERROR(VLOOKUP(K808,'[1]ABC Master Lists'!$AD$2:$AE$22,2,FALSE), " ")</f>
        <v>+</v>
      </c>
    </row>
    <row r="809" spans="1:13" x14ac:dyDescent="0.25">
      <c r="D809" s="27">
        <v>20</v>
      </c>
      <c r="E809" s="200" t="s">
        <v>126</v>
      </c>
      <c r="F809" s="17">
        <v>1000</v>
      </c>
      <c r="G809" s="201" t="s">
        <v>127</v>
      </c>
      <c r="H809" s="86" t="s">
        <v>5</v>
      </c>
      <c r="I809" s="37">
        <v>149</v>
      </c>
      <c r="J809" s="81" t="str">
        <f>IFERROR(VLOOKUP(I809,'[1]ABC Master Lists'!$B$2:$I$346,4,FALSE)," ")</f>
        <v>U</v>
      </c>
      <c r="K809" s="81">
        <f>IFERROR(VLOOKUP(I809,'[1]ABC Master Lists'!$B$2:$I$346,8,FALSE)," ")</f>
        <v>6</v>
      </c>
      <c r="L809" s="120" t="str">
        <f>IFERROR(VLOOKUP(J809,'[1]ABC Master Lists'!$AQ$2:$AS$12,3,FALSE)," ")</f>
        <v xml:space="preserve"> </v>
      </c>
      <c r="M809" s="120" t="str">
        <f>IFERROR(VLOOKUP(K809,'[1]ABC Master Lists'!$AD$2:$AE$22,2,FALSE), " ")</f>
        <v>+</v>
      </c>
    </row>
    <row r="810" spans="1:13" x14ac:dyDescent="0.25">
      <c r="A810" s="25"/>
      <c r="B810" s="25"/>
      <c r="C810" s="25"/>
      <c r="D810" s="26">
        <v>21</v>
      </c>
      <c r="E810" s="51" t="s">
        <v>126</v>
      </c>
      <c r="F810" s="4">
        <v>1500</v>
      </c>
      <c r="G810" s="76" t="s">
        <v>127</v>
      </c>
      <c r="H810" s="41" t="s">
        <v>5</v>
      </c>
      <c r="I810" s="36">
        <v>150</v>
      </c>
      <c r="J810" s="79" t="str">
        <f>IFERROR(VLOOKUP(I810,'[1]ABC Master Lists'!$B$2:$I$346,4,FALSE)," ")</f>
        <v>U</v>
      </c>
      <c r="K810" s="79">
        <f>IFERROR(VLOOKUP(I810,'[1]ABC Master Lists'!$B$2:$I$346,8,FALSE)," ")</f>
        <v>6</v>
      </c>
      <c r="L810" s="118" t="str">
        <f>IFERROR(VLOOKUP(J810,'[1]ABC Master Lists'!$AQ$2:$AS$12,3,FALSE)," ")</f>
        <v xml:space="preserve"> </v>
      </c>
      <c r="M810" s="118" t="str">
        <f>IFERROR(VLOOKUP(K810,'[1]ABC Master Lists'!$AD$2:$AE$22,2,FALSE), " ")</f>
        <v>+</v>
      </c>
    </row>
    <row r="811" spans="1:13" x14ac:dyDescent="0.25">
      <c r="A811" s="24">
        <v>2015</v>
      </c>
      <c r="B811" s="24" t="s">
        <v>168</v>
      </c>
      <c r="C811" s="24">
        <v>15209</v>
      </c>
      <c r="D811" s="27">
        <v>1</v>
      </c>
      <c r="E811" s="165" t="s">
        <v>123</v>
      </c>
      <c r="F811" s="17" t="s">
        <v>2</v>
      </c>
      <c r="G811" s="196" t="s">
        <v>2</v>
      </c>
      <c r="H811" s="37" t="s">
        <v>2</v>
      </c>
      <c r="I811" s="37">
        <v>1</v>
      </c>
      <c r="J811" s="81" t="str">
        <f>IFERROR(VLOOKUP(I811,'[1]ABC Master Lists'!$B$2:$I$346,4,FALSE)," ")</f>
        <v>.</v>
      </c>
      <c r="K811" s="81" t="str">
        <f>IFERROR(VLOOKUP(I811,'[1]ABC Master Lists'!$B$2:$I$346,8,FALSE)," ")</f>
        <v>.</v>
      </c>
      <c r="L811" s="120" t="str">
        <f>IFERROR(VLOOKUP(J811,'[1]ABC Master Lists'!$AQ$2:$AS$12,3,FALSE)," ")</f>
        <v>+</v>
      </c>
      <c r="M811" s="120" t="str">
        <f>IFERROR(VLOOKUP(K811,'[1]ABC Master Lists'!$AD$2:$AE$22,2,FALSE), " ")</f>
        <v>+</v>
      </c>
    </row>
    <row r="812" spans="1:13" x14ac:dyDescent="0.25">
      <c r="D812" s="26">
        <v>2</v>
      </c>
      <c r="E812" s="52" t="s">
        <v>15</v>
      </c>
      <c r="F812" s="4">
        <v>6</v>
      </c>
      <c r="G812" s="71" t="s">
        <v>80</v>
      </c>
      <c r="H812" s="36" t="s">
        <v>5</v>
      </c>
      <c r="I812" s="36">
        <v>77</v>
      </c>
      <c r="J812" s="79">
        <f>IFERROR(VLOOKUP(I812,'[1]ABC Master Lists'!$B$2:$I$346,4,FALSE)," ")</f>
        <v>26</v>
      </c>
      <c r="K812" s="79">
        <f>IFERROR(VLOOKUP(I812,'[1]ABC Master Lists'!$B$2:$I$346,8,FALSE)," ")</f>
        <v>6</v>
      </c>
      <c r="L812" s="118" t="str">
        <f>IFERROR(VLOOKUP(J812,'[1]ABC Master Lists'!$AQ$2:$AS$12,3,FALSE)," ")</f>
        <v>+</v>
      </c>
      <c r="M812" s="118" t="str">
        <f>IFERROR(VLOOKUP(K812,'[1]ABC Master Lists'!$AD$2:$AE$22,2,FALSE), " ")</f>
        <v>+</v>
      </c>
    </row>
    <row r="813" spans="1:13" x14ac:dyDescent="0.25">
      <c r="D813" s="27">
        <v>3</v>
      </c>
      <c r="E813" s="165" t="s">
        <v>15</v>
      </c>
      <c r="F813" s="17">
        <v>6</v>
      </c>
      <c r="G813" s="196" t="s">
        <v>80</v>
      </c>
      <c r="H813" s="37" t="s">
        <v>20</v>
      </c>
      <c r="I813" s="37">
        <v>78</v>
      </c>
      <c r="J813" s="81">
        <f>IFERROR(VLOOKUP(I813,'[1]ABC Master Lists'!$B$2:$I$346,4,FALSE)," ")</f>
        <v>26</v>
      </c>
      <c r="K813" s="81">
        <f>IFERROR(VLOOKUP(I813,'[1]ABC Master Lists'!$B$2:$I$346,8,FALSE)," ")</f>
        <v>8</v>
      </c>
      <c r="L813" s="120" t="str">
        <f>IFERROR(VLOOKUP(J813,'[1]ABC Master Lists'!$AQ$2:$AS$12,3,FALSE)," ")</f>
        <v>+</v>
      </c>
      <c r="M813" s="120" t="str">
        <f>IFERROR(VLOOKUP(K813,'[1]ABC Master Lists'!$AD$2:$AE$22,2,FALSE), " ")</f>
        <v>+</v>
      </c>
    </row>
    <row r="814" spans="1:13" x14ac:dyDescent="0.25">
      <c r="D814" s="26">
        <v>4</v>
      </c>
      <c r="E814" s="52" t="s">
        <v>128</v>
      </c>
      <c r="F814" s="4">
        <v>1</v>
      </c>
      <c r="G814" s="71" t="s">
        <v>80</v>
      </c>
      <c r="H814" s="36" t="s">
        <v>5</v>
      </c>
      <c r="I814" s="36">
        <v>227</v>
      </c>
      <c r="J814" s="79">
        <f>IFERROR(VLOOKUP(I814,'[1]ABC Master Lists'!$B$2:$I$346,4,FALSE)," ")</f>
        <v>23</v>
      </c>
      <c r="K814" s="79">
        <f>IFERROR(VLOOKUP(I814,'[1]ABC Master Lists'!$B$2:$I$346,8,FALSE)," ")</f>
        <v>6</v>
      </c>
      <c r="L814" s="118" t="str">
        <f>IFERROR(VLOOKUP(J814,'[1]ABC Master Lists'!$AQ$2:$AS$12,3,FALSE)," ")</f>
        <v xml:space="preserve"> </v>
      </c>
      <c r="M814" s="118" t="str">
        <f>IFERROR(VLOOKUP(K814,'[1]ABC Master Lists'!$AD$2:$AE$22,2,FALSE), " ")</f>
        <v>+</v>
      </c>
    </row>
    <row r="815" spans="1:13" x14ac:dyDescent="0.25">
      <c r="D815" s="28">
        <v>5</v>
      </c>
      <c r="E815" s="166" t="s">
        <v>128</v>
      </c>
      <c r="F815" s="20">
        <v>1</v>
      </c>
      <c r="G815" s="202" t="s">
        <v>80</v>
      </c>
      <c r="H815" s="38" t="s">
        <v>5</v>
      </c>
      <c r="I815" s="38">
        <v>229</v>
      </c>
      <c r="J815" s="83">
        <f>IFERROR(VLOOKUP(I815,'[1]ABC Master Lists'!$B$2:$I$346,4,FALSE)," ")</f>
        <v>2326</v>
      </c>
      <c r="K815" s="83">
        <f>IFERROR(VLOOKUP(I815,'[1]ABC Master Lists'!$B$2:$I$346,8,FALSE)," ")</f>
        <v>68</v>
      </c>
      <c r="L815" s="122" t="str">
        <f>IFERROR(VLOOKUP(J815,'[1]ABC Master Lists'!$AQ$2:$AS$12,3,FALSE)," ")</f>
        <v xml:space="preserve"> </v>
      </c>
      <c r="M815" s="122" t="str">
        <f>IFERROR(VLOOKUP(K815,'[1]ABC Master Lists'!$AD$2:$AE$22,2,FALSE), " ")</f>
        <v>+</v>
      </c>
    </row>
    <row r="816" spans="1:13" x14ac:dyDescent="0.25">
      <c r="D816" s="29"/>
      <c r="E816" s="99" t="s">
        <v>15</v>
      </c>
      <c r="F816" s="23">
        <v>6</v>
      </c>
      <c r="G816" s="203" t="s">
        <v>80</v>
      </c>
      <c r="H816" s="39" t="s">
        <v>20</v>
      </c>
      <c r="I816" s="39"/>
      <c r="J816" s="82" t="str">
        <f>IFERROR(VLOOKUP(I816,'[1]ABC Master Lists'!$B$2:$I$346,4,FALSE)," ")</f>
        <v xml:space="preserve"> </v>
      </c>
      <c r="K816" s="82" t="str">
        <f>IFERROR(VLOOKUP(I816,'[1]ABC Master Lists'!$B$2:$I$346,8,FALSE)," ")</f>
        <v xml:space="preserve"> </v>
      </c>
      <c r="L816" s="121" t="str">
        <f>IFERROR(VLOOKUP(J816,'[1]ABC Master Lists'!$AQ$2:$AS$12,3,FALSE)," ")</f>
        <v xml:space="preserve"> </v>
      </c>
      <c r="M816" s="121" t="str">
        <f>IFERROR(VLOOKUP(K816,'[1]ABC Master Lists'!$AD$2:$AE$22,2,FALSE), " ")</f>
        <v xml:space="preserve"> </v>
      </c>
    </row>
    <row r="817" spans="1:13" x14ac:dyDescent="0.25">
      <c r="A817" s="31">
        <v>2015</v>
      </c>
      <c r="B817" s="31" t="s">
        <v>168</v>
      </c>
      <c r="C817" s="31">
        <v>15226</v>
      </c>
      <c r="D817" s="26">
        <v>1</v>
      </c>
      <c r="E817" s="51" t="s">
        <v>110</v>
      </c>
      <c r="F817" s="4" t="s">
        <v>2</v>
      </c>
      <c r="G817" s="71" t="s">
        <v>2</v>
      </c>
      <c r="H817" s="36" t="s">
        <v>2</v>
      </c>
      <c r="I817" s="36">
        <v>1</v>
      </c>
      <c r="J817" s="79" t="str">
        <f>IFERROR(VLOOKUP(I817,'[1]ABC Master Lists'!$B$2:$I$346,4,FALSE)," ")</f>
        <v>.</v>
      </c>
      <c r="K817" s="79" t="str">
        <f>IFERROR(VLOOKUP(I817,'[1]ABC Master Lists'!$B$2:$I$346,8,FALSE)," ")</f>
        <v>.</v>
      </c>
      <c r="L817" s="118" t="str">
        <f>IFERROR(VLOOKUP(J817,'[1]ABC Master Lists'!$AQ$2:$AS$12,3,FALSE)," ")</f>
        <v>+</v>
      </c>
      <c r="M817" s="118" t="str">
        <f>IFERROR(VLOOKUP(K817,'[1]ABC Master Lists'!$AD$2:$AE$22,2,FALSE), " ")</f>
        <v>+</v>
      </c>
    </row>
    <row r="818" spans="1:13" x14ac:dyDescent="0.25">
      <c r="D818" s="27">
        <v>2</v>
      </c>
      <c r="E818" s="200" t="s">
        <v>129</v>
      </c>
      <c r="F818" s="17">
        <v>12</v>
      </c>
      <c r="G818" s="201" t="s">
        <v>80</v>
      </c>
      <c r="H818" s="86" t="s">
        <v>5</v>
      </c>
      <c r="I818" s="37">
        <v>138</v>
      </c>
      <c r="J818" s="81">
        <f>IFERROR(VLOOKUP(I818,'[1]ABC Master Lists'!$B$2:$I$346,4,FALSE)," ")</f>
        <v>11</v>
      </c>
      <c r="K818" s="81">
        <f>IFERROR(VLOOKUP(I818,'[1]ABC Master Lists'!$B$2:$I$346,8,FALSE)," ")</f>
        <v>6</v>
      </c>
      <c r="L818" s="120" t="str">
        <f>IFERROR(VLOOKUP(J818,'[1]ABC Master Lists'!$AQ$2:$AS$12,3,FALSE)," ")</f>
        <v>+</v>
      </c>
      <c r="M818" s="120" t="str">
        <f>IFERROR(VLOOKUP(K818,'[1]ABC Master Lists'!$AD$2:$AE$22,2,FALSE), " ")</f>
        <v>+</v>
      </c>
    </row>
    <row r="819" spans="1:13" x14ac:dyDescent="0.25">
      <c r="D819" s="26">
        <v>3</v>
      </c>
      <c r="E819" s="51" t="s">
        <v>50</v>
      </c>
      <c r="F819" s="4">
        <v>20</v>
      </c>
      <c r="G819" s="76" t="s">
        <v>80</v>
      </c>
      <c r="H819" s="41" t="s">
        <v>5</v>
      </c>
      <c r="I819" s="36">
        <v>123</v>
      </c>
      <c r="J819" s="79">
        <f>IFERROR(VLOOKUP(I819,'[1]ABC Master Lists'!$B$2:$I$346,4,FALSE)," ")</f>
        <v>28</v>
      </c>
      <c r="K819" s="79">
        <f>IFERROR(VLOOKUP(I819,'[1]ABC Master Lists'!$B$2:$I$346,8,FALSE)," ")</f>
        <v>6</v>
      </c>
      <c r="L819" s="118" t="str">
        <f>IFERROR(VLOOKUP(J819,'[1]ABC Master Lists'!$AQ$2:$AS$12,3,FALSE)," ")</f>
        <v>+</v>
      </c>
      <c r="M819" s="118" t="str">
        <f>IFERROR(VLOOKUP(K819,'[1]ABC Master Lists'!$AD$2:$AE$22,2,FALSE), " ")</f>
        <v>+</v>
      </c>
    </row>
    <row r="820" spans="1:13" x14ac:dyDescent="0.25">
      <c r="D820" s="27">
        <v>4</v>
      </c>
      <c r="E820" s="200" t="s">
        <v>130</v>
      </c>
      <c r="F820" s="17">
        <v>12</v>
      </c>
      <c r="G820" s="201" t="s">
        <v>80</v>
      </c>
      <c r="H820" s="86" t="s">
        <v>5</v>
      </c>
      <c r="I820" s="37">
        <v>112</v>
      </c>
      <c r="J820" s="81">
        <f>IFERROR(VLOOKUP(I820,'[1]ABC Master Lists'!$B$2:$I$346,4,FALSE)," ")</f>
        <v>24</v>
      </c>
      <c r="K820" s="81">
        <f>IFERROR(VLOOKUP(I820,'[1]ABC Master Lists'!$B$2:$I$346,8,FALSE)," ")</f>
        <v>6</v>
      </c>
      <c r="L820" s="120" t="str">
        <f>IFERROR(VLOOKUP(J820,'[1]ABC Master Lists'!$AQ$2:$AS$12,3,FALSE)," ")</f>
        <v xml:space="preserve"> </v>
      </c>
      <c r="M820" s="120" t="str">
        <f>IFERROR(VLOOKUP(K820,'[1]ABC Master Lists'!$AD$2:$AE$22,2,FALSE), " ")</f>
        <v>+</v>
      </c>
    </row>
    <row r="821" spans="1:13" x14ac:dyDescent="0.25">
      <c r="D821" s="26">
        <v>5</v>
      </c>
      <c r="E821" s="51" t="s">
        <v>70</v>
      </c>
      <c r="F821" s="4">
        <v>6.8</v>
      </c>
      <c r="G821" s="76" t="s">
        <v>80</v>
      </c>
      <c r="H821" s="41" t="s">
        <v>5</v>
      </c>
      <c r="I821" s="36">
        <v>6</v>
      </c>
      <c r="J821" s="79" t="str">
        <f>IFERROR(VLOOKUP(I821,'[1]ABC Master Lists'!$B$2:$I$346,4,FALSE)," ")</f>
        <v>U</v>
      </c>
      <c r="K821" s="79">
        <f>IFERROR(VLOOKUP(I821,'[1]ABC Master Lists'!$B$2:$I$346,8,FALSE)," ")</f>
        <v>6</v>
      </c>
      <c r="L821" s="118" t="str">
        <f>IFERROR(VLOOKUP(J821,'[1]ABC Master Lists'!$AQ$2:$AS$12,3,FALSE)," ")</f>
        <v xml:space="preserve"> </v>
      </c>
      <c r="M821" s="118" t="str">
        <f>IFERROR(VLOOKUP(K821,'[1]ABC Master Lists'!$AD$2:$AE$22,2,FALSE), " ")</f>
        <v>+</v>
      </c>
    </row>
    <row r="822" spans="1:13" x14ac:dyDescent="0.25">
      <c r="D822" s="28">
        <v>6</v>
      </c>
      <c r="E822" s="197" t="s">
        <v>68</v>
      </c>
      <c r="F822" s="20">
        <v>12</v>
      </c>
      <c r="G822" s="198" t="s">
        <v>80</v>
      </c>
      <c r="H822" s="44" t="s">
        <v>5</v>
      </c>
      <c r="I822" s="38">
        <v>144</v>
      </c>
      <c r="J822" s="83">
        <f>IFERROR(VLOOKUP(I822,'[1]ABC Master Lists'!$B$2:$I$346,4,FALSE)," ")</f>
        <v>1128</v>
      </c>
      <c r="K822" s="83">
        <f>IFERROR(VLOOKUP(I822,'[1]ABC Master Lists'!$B$2:$I$346,8,FALSE)," ")</f>
        <v>6</v>
      </c>
      <c r="L822" s="122" t="str">
        <f>IFERROR(VLOOKUP(J822,'[1]ABC Master Lists'!$AQ$2:$AS$12,3,FALSE)," ")</f>
        <v xml:space="preserve"> </v>
      </c>
      <c r="M822" s="122" t="str">
        <f>IFERROR(VLOOKUP(K822,'[1]ABC Master Lists'!$AD$2:$AE$22,2,FALSE), " ")</f>
        <v>+</v>
      </c>
    </row>
    <row r="823" spans="1:13" x14ac:dyDescent="0.25">
      <c r="D823" s="29"/>
      <c r="E823" s="100" t="s">
        <v>50</v>
      </c>
      <c r="F823" s="23">
        <v>10</v>
      </c>
      <c r="G823" s="199" t="s">
        <v>80</v>
      </c>
      <c r="H823" s="47" t="s">
        <v>5</v>
      </c>
      <c r="I823" s="39"/>
      <c r="J823" s="82" t="str">
        <f>IFERROR(VLOOKUP(I823,'[1]ABC Master Lists'!$B$2:$I$346,4,FALSE)," ")</f>
        <v xml:space="preserve"> </v>
      </c>
      <c r="K823" s="82" t="str">
        <f>IFERROR(VLOOKUP(I823,'[1]ABC Master Lists'!$B$2:$I$346,8,FALSE)," ")</f>
        <v xml:space="preserve"> </v>
      </c>
      <c r="L823" s="121" t="str">
        <f>IFERROR(VLOOKUP(J823,'[1]ABC Master Lists'!$AQ$2:$AS$12,3,FALSE)," ")</f>
        <v xml:space="preserve"> </v>
      </c>
      <c r="M823" s="121" t="str">
        <f>IFERROR(VLOOKUP(K823,'[1]ABC Master Lists'!$AD$2:$AE$22,2,FALSE), " ")</f>
        <v xml:space="preserve"> </v>
      </c>
    </row>
    <row r="824" spans="1:13" x14ac:dyDescent="0.25">
      <c r="D824" s="26">
        <v>7</v>
      </c>
      <c r="E824" s="51" t="s">
        <v>68</v>
      </c>
      <c r="F824" s="4">
        <v>12</v>
      </c>
      <c r="G824" s="76" t="s">
        <v>80</v>
      </c>
      <c r="H824" s="41" t="s">
        <v>5</v>
      </c>
      <c r="I824" s="36">
        <v>145</v>
      </c>
      <c r="J824" s="79">
        <f>IFERROR(VLOOKUP(I824,'[1]ABC Master Lists'!$B$2:$I$346,4,FALSE)," ")</f>
        <v>1128</v>
      </c>
      <c r="K824" s="79">
        <f>IFERROR(VLOOKUP(I824,'[1]ABC Master Lists'!$B$2:$I$346,8,FALSE)," ")</f>
        <v>6</v>
      </c>
      <c r="L824" s="118" t="str">
        <f>IFERROR(VLOOKUP(J824,'[1]ABC Master Lists'!$AQ$2:$AS$12,3,FALSE)," ")</f>
        <v xml:space="preserve"> </v>
      </c>
      <c r="M824" s="118" t="str">
        <f>IFERROR(VLOOKUP(K824,'[1]ABC Master Lists'!$AD$2:$AE$22,2,FALSE), " ")</f>
        <v>+</v>
      </c>
    </row>
    <row r="825" spans="1:13" x14ac:dyDescent="0.25">
      <c r="E825" s="51" t="s">
        <v>50</v>
      </c>
      <c r="F825" s="4">
        <v>20</v>
      </c>
      <c r="G825" s="76" t="s">
        <v>80</v>
      </c>
      <c r="H825" s="41" t="s">
        <v>5</v>
      </c>
      <c r="J825" s="79" t="str">
        <f>IFERROR(VLOOKUP(I825,'[1]ABC Master Lists'!$B$2:$I$346,4,FALSE)," ")</f>
        <v xml:space="preserve"> </v>
      </c>
      <c r="K825" s="79" t="str">
        <f>IFERROR(VLOOKUP(I825,'[1]ABC Master Lists'!$B$2:$I$346,8,FALSE)," ")</f>
        <v xml:space="preserve"> </v>
      </c>
      <c r="L825" s="118" t="str">
        <f>IFERROR(VLOOKUP(J825,'[1]ABC Master Lists'!$AQ$2:$AS$12,3,FALSE)," ")</f>
        <v xml:space="preserve"> </v>
      </c>
      <c r="M825" s="118" t="str">
        <f>IFERROR(VLOOKUP(K825,'[1]ABC Master Lists'!$AD$2:$AE$22,2,FALSE), " ")</f>
        <v xml:space="preserve"> </v>
      </c>
    </row>
    <row r="826" spans="1:13" x14ac:dyDescent="0.25">
      <c r="D826" s="28">
        <v>8</v>
      </c>
      <c r="E826" s="197" t="s">
        <v>68</v>
      </c>
      <c r="F826" s="20">
        <v>12</v>
      </c>
      <c r="G826" s="198" t="s">
        <v>80</v>
      </c>
      <c r="H826" s="44" t="s">
        <v>5</v>
      </c>
      <c r="I826" s="38">
        <v>142</v>
      </c>
      <c r="J826" s="83">
        <f>IFERROR(VLOOKUP(I826,'[1]ABC Master Lists'!$B$2:$I$346,4,FALSE)," ")</f>
        <v>1124</v>
      </c>
      <c r="K826" s="83">
        <f>IFERROR(VLOOKUP(I826,'[1]ABC Master Lists'!$B$2:$I$346,8,FALSE)," ")</f>
        <v>6</v>
      </c>
      <c r="L826" s="122" t="str">
        <f>IFERROR(VLOOKUP(J826,'[1]ABC Master Lists'!$AQ$2:$AS$12,3,FALSE)," ")</f>
        <v xml:space="preserve"> </v>
      </c>
      <c r="M826" s="122" t="str">
        <f>IFERROR(VLOOKUP(K826,'[1]ABC Master Lists'!$AD$2:$AE$22,2,FALSE), " ")</f>
        <v>+</v>
      </c>
    </row>
    <row r="827" spans="1:13" x14ac:dyDescent="0.25">
      <c r="D827" s="29"/>
      <c r="E827" s="100" t="s">
        <v>130</v>
      </c>
      <c r="F827" s="23">
        <v>6</v>
      </c>
      <c r="G827" s="199" t="s">
        <v>80</v>
      </c>
      <c r="H827" s="47" t="s">
        <v>5</v>
      </c>
      <c r="I827" s="39"/>
      <c r="J827" s="82" t="str">
        <f>IFERROR(VLOOKUP(I827,'[1]ABC Master Lists'!$B$2:$I$346,4,FALSE)," ")</f>
        <v xml:space="preserve"> </v>
      </c>
      <c r="K827" s="82" t="str">
        <f>IFERROR(VLOOKUP(I827,'[1]ABC Master Lists'!$B$2:$I$346,8,FALSE)," ")</f>
        <v xml:space="preserve"> </v>
      </c>
      <c r="L827" s="121" t="str">
        <f>IFERROR(VLOOKUP(J827,'[1]ABC Master Lists'!$AQ$2:$AS$12,3,FALSE)," ")</f>
        <v xml:space="preserve"> </v>
      </c>
      <c r="M827" s="121" t="str">
        <f>IFERROR(VLOOKUP(K827,'[1]ABC Master Lists'!$AD$2:$AE$22,2,FALSE), " ")</f>
        <v xml:space="preserve"> </v>
      </c>
    </row>
    <row r="828" spans="1:13" x14ac:dyDescent="0.25">
      <c r="D828" s="26">
        <v>9</v>
      </c>
      <c r="E828" s="51" t="s">
        <v>68</v>
      </c>
      <c r="F828" s="4">
        <v>12</v>
      </c>
      <c r="G828" s="76" t="s">
        <v>80</v>
      </c>
      <c r="H828" s="41" t="s">
        <v>5</v>
      </c>
      <c r="I828" s="36">
        <v>143</v>
      </c>
      <c r="J828" s="79">
        <f>IFERROR(VLOOKUP(I828,'[1]ABC Master Lists'!$B$2:$I$346,4,FALSE)," ")</f>
        <v>1124</v>
      </c>
      <c r="K828" s="79">
        <f>IFERROR(VLOOKUP(I828,'[1]ABC Master Lists'!$B$2:$I$346,8,FALSE)," ")</f>
        <v>6</v>
      </c>
      <c r="L828" s="118" t="str">
        <f>IFERROR(VLOOKUP(J828,'[1]ABC Master Lists'!$AQ$2:$AS$12,3,FALSE)," ")</f>
        <v xml:space="preserve"> </v>
      </c>
      <c r="M828" s="118" t="str">
        <f>IFERROR(VLOOKUP(K828,'[1]ABC Master Lists'!$AD$2:$AE$22,2,FALSE), " ")</f>
        <v>+</v>
      </c>
    </row>
    <row r="829" spans="1:13" x14ac:dyDescent="0.25">
      <c r="E829" s="51" t="s">
        <v>130</v>
      </c>
      <c r="F829" s="4">
        <v>12</v>
      </c>
      <c r="G829" s="76" t="s">
        <v>80</v>
      </c>
      <c r="H829" s="41" t="s">
        <v>5</v>
      </c>
      <c r="J829" s="79" t="str">
        <f>IFERROR(VLOOKUP(I829,'[1]ABC Master Lists'!$B$2:$I$346,4,FALSE)," ")</f>
        <v xml:space="preserve"> </v>
      </c>
      <c r="K829" s="79" t="str">
        <f>IFERROR(VLOOKUP(I829,'[1]ABC Master Lists'!$B$2:$I$346,8,FALSE)," ")</f>
        <v xml:space="preserve"> </v>
      </c>
      <c r="L829" s="118" t="str">
        <f>IFERROR(VLOOKUP(J829,'[1]ABC Master Lists'!$AQ$2:$AS$12,3,FALSE)," ")</f>
        <v xml:space="preserve"> </v>
      </c>
      <c r="M829" s="118" t="str">
        <f>IFERROR(VLOOKUP(K829,'[1]ABC Master Lists'!$AD$2:$AE$22,2,FALSE), " ")</f>
        <v xml:space="preserve"> </v>
      </c>
    </row>
    <row r="830" spans="1:13" x14ac:dyDescent="0.25">
      <c r="D830" s="28">
        <v>10</v>
      </c>
      <c r="E830" s="197" t="s">
        <v>68</v>
      </c>
      <c r="F830" s="20">
        <v>12</v>
      </c>
      <c r="G830" s="198" t="s">
        <v>80</v>
      </c>
      <c r="H830" s="44" t="s">
        <v>5</v>
      </c>
      <c r="I830" s="38">
        <v>148</v>
      </c>
      <c r="J830" s="83" t="str">
        <f>IFERROR(VLOOKUP(I830,'[1]ABC Master Lists'!$B$2:$I$346,4,FALSE)," ")</f>
        <v>U1128</v>
      </c>
      <c r="K830" s="83">
        <f>IFERROR(VLOOKUP(I830,'[1]ABC Master Lists'!$B$2:$I$346,8,FALSE)," ")</f>
        <v>6</v>
      </c>
      <c r="L830" s="122" t="str">
        <f>IFERROR(VLOOKUP(J830,'[1]ABC Master Lists'!$AQ$2:$AS$12,3,FALSE)," ")</f>
        <v xml:space="preserve"> </v>
      </c>
      <c r="M830" s="122" t="str">
        <f>IFERROR(VLOOKUP(K830,'[1]ABC Master Lists'!$AD$2:$AE$22,2,FALSE), " ")</f>
        <v>+</v>
      </c>
    </row>
    <row r="831" spans="1:13" x14ac:dyDescent="0.25">
      <c r="E831" s="51" t="s">
        <v>50</v>
      </c>
      <c r="F831" s="4">
        <v>20</v>
      </c>
      <c r="G831" s="76" t="s">
        <v>80</v>
      </c>
      <c r="H831" s="41" t="s">
        <v>5</v>
      </c>
      <c r="J831" s="79" t="str">
        <f>IFERROR(VLOOKUP(I831,'[1]ABC Master Lists'!$B$2:$I$346,4,FALSE)," ")</f>
        <v xml:space="preserve"> </v>
      </c>
      <c r="K831" s="79" t="str">
        <f>IFERROR(VLOOKUP(I831,'[1]ABC Master Lists'!$B$2:$I$346,8,FALSE)," ")</f>
        <v xml:space="preserve"> </v>
      </c>
      <c r="L831" s="118" t="str">
        <f>IFERROR(VLOOKUP(J831,'[1]ABC Master Lists'!$AQ$2:$AS$12,3,FALSE)," ")</f>
        <v xml:space="preserve"> </v>
      </c>
      <c r="M831" s="118" t="str">
        <f>IFERROR(VLOOKUP(K831,'[1]ABC Master Lists'!$AD$2:$AE$22,2,FALSE), " ")</f>
        <v xml:space="preserve"> </v>
      </c>
    </row>
    <row r="832" spans="1:13" x14ac:dyDescent="0.25">
      <c r="D832" s="29"/>
      <c r="E832" s="100" t="s">
        <v>70</v>
      </c>
      <c r="F832" s="23">
        <v>6.8</v>
      </c>
      <c r="G832" s="199" t="s">
        <v>80</v>
      </c>
      <c r="H832" s="47" t="s">
        <v>5</v>
      </c>
      <c r="I832" s="39"/>
      <c r="J832" s="82" t="str">
        <f>IFERROR(VLOOKUP(I832,'[1]ABC Master Lists'!$B$2:$I$346,4,FALSE)," ")</f>
        <v xml:space="preserve"> </v>
      </c>
      <c r="K832" s="82" t="str">
        <f>IFERROR(VLOOKUP(I832,'[1]ABC Master Lists'!$B$2:$I$346,8,FALSE)," ")</f>
        <v xml:space="preserve"> </v>
      </c>
      <c r="L832" s="121" t="str">
        <f>IFERROR(VLOOKUP(J832,'[1]ABC Master Lists'!$AQ$2:$AS$12,3,FALSE)," ")</f>
        <v xml:space="preserve"> </v>
      </c>
      <c r="M832" s="121" t="str">
        <f>IFERROR(VLOOKUP(K832,'[1]ABC Master Lists'!$AD$2:$AE$22,2,FALSE), " ")</f>
        <v xml:space="preserve"> </v>
      </c>
    </row>
    <row r="833" spans="1:13" x14ac:dyDescent="0.25">
      <c r="D833" s="26">
        <v>11</v>
      </c>
      <c r="E833" s="51" t="s">
        <v>131</v>
      </c>
      <c r="F833" s="4">
        <v>11</v>
      </c>
      <c r="G833" s="76" t="s">
        <v>46</v>
      </c>
      <c r="H833" s="41" t="s">
        <v>5</v>
      </c>
      <c r="I833" s="36">
        <v>95</v>
      </c>
      <c r="J833" s="79">
        <f>IFERROR(VLOOKUP(I833,'[1]ABC Master Lists'!$B$2:$I$346,4,FALSE)," ")</f>
        <v>4</v>
      </c>
      <c r="K833" s="79">
        <f>IFERROR(VLOOKUP(I833,'[1]ABC Master Lists'!$B$2:$I$346,8,FALSE)," ")</f>
        <v>6</v>
      </c>
      <c r="L833" s="118" t="str">
        <f>IFERROR(VLOOKUP(J833,'[1]ABC Master Lists'!$AQ$2:$AS$12,3,FALSE)," ")</f>
        <v>+</v>
      </c>
      <c r="M833" s="118" t="str">
        <f>IFERROR(VLOOKUP(K833,'[1]ABC Master Lists'!$AD$2:$AE$22,2,FALSE), " ")</f>
        <v>+</v>
      </c>
    </row>
    <row r="834" spans="1:13" x14ac:dyDescent="0.25">
      <c r="D834" s="27">
        <v>12</v>
      </c>
      <c r="E834" s="200" t="s">
        <v>132</v>
      </c>
      <c r="F834" s="17">
        <v>6</v>
      </c>
      <c r="G834" s="201" t="s">
        <v>80</v>
      </c>
      <c r="H834" s="86" t="s">
        <v>5</v>
      </c>
      <c r="I834" s="37">
        <v>10</v>
      </c>
      <c r="J834" s="81">
        <f>IFERROR(VLOOKUP(I834,'[1]ABC Master Lists'!$B$2:$I$346,4,FALSE)," ")</f>
        <v>26</v>
      </c>
      <c r="K834" s="81">
        <f>IFERROR(VLOOKUP(I834,'[1]ABC Master Lists'!$B$2:$I$346,8,FALSE)," ")</f>
        <v>6</v>
      </c>
      <c r="L834" s="120" t="str">
        <f>IFERROR(VLOOKUP(J834,'[1]ABC Master Lists'!$AQ$2:$AS$12,3,FALSE)," ")</f>
        <v>+</v>
      </c>
      <c r="M834" s="120" t="str">
        <f>IFERROR(VLOOKUP(K834,'[1]ABC Master Lists'!$AD$2:$AE$22,2,FALSE), " ")</f>
        <v>+</v>
      </c>
    </row>
    <row r="835" spans="1:13" x14ac:dyDescent="0.25">
      <c r="D835" s="26">
        <v>13</v>
      </c>
      <c r="E835" s="51" t="s">
        <v>133</v>
      </c>
      <c r="F835" s="4">
        <v>23</v>
      </c>
      <c r="G835" s="76" t="s">
        <v>80</v>
      </c>
      <c r="H835" s="41" t="s">
        <v>5</v>
      </c>
      <c r="I835" s="36">
        <v>11</v>
      </c>
      <c r="J835" s="79">
        <f>IFERROR(VLOOKUP(I835,'[1]ABC Master Lists'!$B$2:$I$346,4,FALSE)," ")</f>
        <v>2826</v>
      </c>
      <c r="K835" s="79">
        <f>IFERROR(VLOOKUP(I835,'[1]ABC Master Lists'!$B$2:$I$346,8,FALSE)," ")</f>
        <v>6</v>
      </c>
      <c r="L835" s="118" t="str">
        <f>IFERROR(VLOOKUP(J835,'[1]ABC Master Lists'!$AQ$2:$AS$12,3,FALSE)," ")</f>
        <v xml:space="preserve"> </v>
      </c>
      <c r="M835" s="118" t="str">
        <f>IFERROR(VLOOKUP(K835,'[1]ABC Master Lists'!$AD$2:$AE$22,2,FALSE), " ")</f>
        <v>+</v>
      </c>
    </row>
    <row r="836" spans="1:13" x14ac:dyDescent="0.25">
      <c r="D836" s="27">
        <v>14</v>
      </c>
      <c r="E836" s="200" t="s">
        <v>134</v>
      </c>
      <c r="F836" s="17">
        <v>16</v>
      </c>
      <c r="G836" s="201" t="s">
        <v>80</v>
      </c>
      <c r="H836" s="86" t="s">
        <v>5</v>
      </c>
      <c r="I836" s="37">
        <v>191</v>
      </c>
      <c r="J836" s="81" t="str">
        <f>IFERROR(VLOOKUP(I836,'[1]ABC Master Lists'!$B$2:$I$346,4,FALSE)," ")</f>
        <v>U</v>
      </c>
      <c r="K836" s="81">
        <f>IFERROR(VLOOKUP(I836,'[1]ABC Master Lists'!$B$2:$I$346,8,FALSE)," ")</f>
        <v>6</v>
      </c>
      <c r="L836" s="120" t="str">
        <f>IFERROR(VLOOKUP(J836,'[1]ABC Master Lists'!$AQ$2:$AS$12,3,FALSE)," ")</f>
        <v xml:space="preserve"> </v>
      </c>
      <c r="M836" s="120" t="str">
        <f>IFERROR(VLOOKUP(K836,'[1]ABC Master Lists'!$AD$2:$AE$22,2,FALSE), " ")</f>
        <v>+</v>
      </c>
    </row>
    <row r="837" spans="1:13" x14ac:dyDescent="0.25">
      <c r="D837" s="26">
        <v>15</v>
      </c>
      <c r="E837" s="51" t="s">
        <v>134</v>
      </c>
      <c r="F837" s="4">
        <v>13</v>
      </c>
      <c r="G837" s="76" t="s">
        <v>80</v>
      </c>
      <c r="H837" s="41" t="s">
        <v>5</v>
      </c>
      <c r="I837" s="36">
        <v>190</v>
      </c>
      <c r="J837" s="79" t="str">
        <f>IFERROR(VLOOKUP(I837,'[1]ABC Master Lists'!$B$2:$I$346,4,FALSE)," ")</f>
        <v>U</v>
      </c>
      <c r="K837" s="79">
        <f>IFERROR(VLOOKUP(I837,'[1]ABC Master Lists'!$B$2:$I$346,8,FALSE)," ")</f>
        <v>6</v>
      </c>
      <c r="L837" s="118" t="str">
        <f>IFERROR(VLOOKUP(J837,'[1]ABC Master Lists'!$AQ$2:$AS$12,3,FALSE)," ")</f>
        <v xml:space="preserve"> </v>
      </c>
      <c r="M837" s="118" t="str">
        <f>IFERROR(VLOOKUP(K837,'[1]ABC Master Lists'!$AD$2:$AE$22,2,FALSE), " ")</f>
        <v>+</v>
      </c>
    </row>
    <row r="838" spans="1:13" x14ac:dyDescent="0.25">
      <c r="D838" s="27">
        <v>16</v>
      </c>
      <c r="E838" s="200" t="s">
        <v>135</v>
      </c>
      <c r="F838" s="17">
        <v>16</v>
      </c>
      <c r="G838" s="201" t="s">
        <v>80</v>
      </c>
      <c r="H838" s="86" t="s">
        <v>5</v>
      </c>
      <c r="I838" s="37">
        <v>192</v>
      </c>
      <c r="J838" s="81" t="str">
        <f>IFERROR(VLOOKUP(I838,'[1]ABC Master Lists'!$B$2:$I$346,4,FALSE)," ")</f>
        <v>U</v>
      </c>
      <c r="K838" s="81">
        <f>IFERROR(VLOOKUP(I838,'[1]ABC Master Lists'!$B$2:$I$346,8,FALSE)," ")</f>
        <v>6</v>
      </c>
      <c r="L838" s="120" t="str">
        <f>IFERROR(VLOOKUP(J838,'[1]ABC Master Lists'!$AQ$2:$AS$12,3,FALSE)," ")</f>
        <v xml:space="preserve"> </v>
      </c>
      <c r="M838" s="120" t="str">
        <f>IFERROR(VLOOKUP(K838,'[1]ABC Master Lists'!$AD$2:$AE$22,2,FALSE), " ")</f>
        <v>+</v>
      </c>
    </row>
    <row r="839" spans="1:13" x14ac:dyDescent="0.25">
      <c r="D839" s="26">
        <v>17</v>
      </c>
      <c r="E839" s="51" t="s">
        <v>136</v>
      </c>
      <c r="F839" s="4">
        <v>32</v>
      </c>
      <c r="G839" s="76" t="s">
        <v>80</v>
      </c>
      <c r="H839" s="41" t="s">
        <v>5</v>
      </c>
      <c r="I839" s="36">
        <v>135</v>
      </c>
      <c r="J839" s="79">
        <f>IFERROR(VLOOKUP(I839,'[1]ABC Master Lists'!$B$2:$I$346,4,FALSE)," ")</f>
        <v>265</v>
      </c>
      <c r="K839" s="79">
        <f>IFERROR(VLOOKUP(I839,'[1]ABC Master Lists'!$B$2:$I$346,8,FALSE)," ")</f>
        <v>6</v>
      </c>
      <c r="L839" s="118" t="str">
        <f>IFERROR(VLOOKUP(J839,'[1]ABC Master Lists'!$AQ$2:$AS$12,3,FALSE)," ")</f>
        <v xml:space="preserve"> </v>
      </c>
      <c r="M839" s="118" t="str">
        <f>IFERROR(VLOOKUP(K839,'[1]ABC Master Lists'!$AD$2:$AE$22,2,FALSE), " ")</f>
        <v>+</v>
      </c>
    </row>
    <row r="840" spans="1:13" x14ac:dyDescent="0.25">
      <c r="D840" s="27">
        <v>18</v>
      </c>
      <c r="E840" s="200" t="s">
        <v>137</v>
      </c>
      <c r="F840" s="17">
        <v>24</v>
      </c>
      <c r="G840" s="201" t="s">
        <v>80</v>
      </c>
      <c r="H840" s="86" t="s">
        <v>5</v>
      </c>
      <c r="I840" s="37">
        <v>84</v>
      </c>
      <c r="J840" s="81">
        <f>IFERROR(VLOOKUP(I840,'[1]ABC Master Lists'!$B$2:$I$346,4,FALSE)," ")</f>
        <v>5</v>
      </c>
      <c r="K840" s="81">
        <f>IFERROR(VLOOKUP(I840,'[1]ABC Master Lists'!$B$2:$I$346,8,FALSE)," ")</f>
        <v>6</v>
      </c>
      <c r="L840" s="120" t="str">
        <f>IFERROR(VLOOKUP(J840,'[1]ABC Master Lists'!$AQ$2:$AS$12,3,FALSE)," ")</f>
        <v xml:space="preserve"> </v>
      </c>
      <c r="M840" s="120" t="str">
        <f>IFERROR(VLOOKUP(K840,'[1]ABC Master Lists'!$AD$2:$AE$22,2,FALSE), " ")</f>
        <v>+</v>
      </c>
    </row>
    <row r="841" spans="1:13" x14ac:dyDescent="0.25">
      <c r="D841" s="26">
        <v>19</v>
      </c>
      <c r="E841" s="51" t="s">
        <v>138</v>
      </c>
      <c r="F841" s="4">
        <v>20</v>
      </c>
      <c r="G841" s="76" t="s">
        <v>80</v>
      </c>
      <c r="H841" s="41" t="s">
        <v>5</v>
      </c>
      <c r="I841" s="36">
        <v>193</v>
      </c>
      <c r="J841" s="79" t="str">
        <f>IFERROR(VLOOKUP(I841,'[1]ABC Master Lists'!$B$2:$I$346,4,FALSE)," ")</f>
        <v>U</v>
      </c>
      <c r="K841" s="79">
        <f>IFERROR(VLOOKUP(I841,'[1]ABC Master Lists'!$B$2:$I$346,8,FALSE)," ")</f>
        <v>6</v>
      </c>
      <c r="L841" s="118" t="str">
        <f>IFERROR(VLOOKUP(J841,'[1]ABC Master Lists'!$AQ$2:$AS$12,3,FALSE)," ")</f>
        <v xml:space="preserve"> </v>
      </c>
      <c r="M841" s="118" t="str">
        <f>IFERROR(VLOOKUP(K841,'[1]ABC Master Lists'!$AD$2:$AE$22,2,FALSE), " ")</f>
        <v>+</v>
      </c>
    </row>
    <row r="842" spans="1:13" x14ac:dyDescent="0.25">
      <c r="D842" s="27">
        <v>20</v>
      </c>
      <c r="E842" s="200" t="s">
        <v>139</v>
      </c>
      <c r="F842" s="17">
        <v>6</v>
      </c>
      <c r="G842" s="201" t="s">
        <v>80</v>
      </c>
      <c r="H842" s="86" t="s">
        <v>5</v>
      </c>
      <c r="I842" s="37">
        <v>110</v>
      </c>
      <c r="J842" s="81">
        <f>IFERROR(VLOOKUP(I842,'[1]ABC Master Lists'!$B$2:$I$346,4,FALSE)," ")</f>
        <v>24</v>
      </c>
      <c r="K842" s="81">
        <f>IFERROR(VLOOKUP(I842,'[1]ABC Master Lists'!$B$2:$I$346,8,FALSE)," ")</f>
        <v>6</v>
      </c>
      <c r="L842" s="120" t="str">
        <f>IFERROR(VLOOKUP(J842,'[1]ABC Master Lists'!$AQ$2:$AS$12,3,FALSE)," ")</f>
        <v xml:space="preserve"> </v>
      </c>
      <c r="M842" s="120" t="str">
        <f>IFERROR(VLOOKUP(K842,'[1]ABC Master Lists'!$AD$2:$AE$22,2,FALSE), " ")</f>
        <v>+</v>
      </c>
    </row>
    <row r="843" spans="1:13" x14ac:dyDescent="0.25">
      <c r="D843" s="26">
        <v>21</v>
      </c>
      <c r="E843" s="51" t="s">
        <v>140</v>
      </c>
      <c r="F843" s="4">
        <v>5</v>
      </c>
      <c r="G843" s="76" t="s">
        <v>80</v>
      </c>
      <c r="H843" s="41" t="s">
        <v>5</v>
      </c>
      <c r="I843" s="36">
        <v>74</v>
      </c>
      <c r="J843" s="79">
        <f>IFERROR(VLOOKUP(I843,'[1]ABC Master Lists'!$B$2:$I$346,4,FALSE)," ")</f>
        <v>26</v>
      </c>
      <c r="K843" s="79">
        <f>IFERROR(VLOOKUP(I843,'[1]ABC Master Lists'!$B$2:$I$346,8,FALSE)," ")</f>
        <v>6</v>
      </c>
      <c r="L843" s="118" t="str">
        <f>IFERROR(VLOOKUP(J843,'[1]ABC Master Lists'!$AQ$2:$AS$12,3,FALSE)," ")</f>
        <v>+</v>
      </c>
      <c r="M843" s="118" t="str">
        <f>IFERROR(VLOOKUP(K843,'[1]ABC Master Lists'!$AD$2:$AE$22,2,FALSE), " ")</f>
        <v>+</v>
      </c>
    </row>
    <row r="844" spans="1:13" x14ac:dyDescent="0.25">
      <c r="D844" s="28">
        <v>22</v>
      </c>
      <c r="E844" s="197" t="s">
        <v>141</v>
      </c>
      <c r="F844" s="20">
        <v>1</v>
      </c>
      <c r="G844" s="198" t="s">
        <v>142</v>
      </c>
      <c r="H844" s="44" t="s">
        <v>143</v>
      </c>
      <c r="I844" s="38">
        <v>68</v>
      </c>
      <c r="J844" s="83">
        <f>IFERROR(VLOOKUP(I844,'[1]ABC Master Lists'!$B$2:$I$346,4,FALSE)," ")</f>
        <v>726</v>
      </c>
      <c r="K844" s="83">
        <f>IFERROR(VLOOKUP(I844,'[1]ABC Master Lists'!$B$2:$I$346,8,FALSE)," ")</f>
        <v>16</v>
      </c>
      <c r="L844" s="122" t="str">
        <f>IFERROR(VLOOKUP(J844,'[1]ABC Master Lists'!$AQ$2:$AS$12,3,FALSE)," ")</f>
        <v xml:space="preserve"> </v>
      </c>
      <c r="M844" s="122"/>
    </row>
    <row r="845" spans="1:13" x14ac:dyDescent="0.25">
      <c r="D845" s="29"/>
      <c r="E845" s="100" t="s">
        <v>132</v>
      </c>
      <c r="F845" s="23">
        <v>6</v>
      </c>
      <c r="G845" s="199" t="s">
        <v>80</v>
      </c>
      <c r="H845" s="47" t="s">
        <v>5</v>
      </c>
      <c r="I845" s="39"/>
      <c r="J845" s="82" t="str">
        <f>IFERROR(VLOOKUP(I845,'[1]ABC Master Lists'!$B$2:$I$346,4,FALSE)," ")</f>
        <v xml:space="preserve"> </v>
      </c>
      <c r="K845" s="82" t="str">
        <f>IFERROR(VLOOKUP(I845,'[1]ABC Master Lists'!$B$2:$I$346,8,FALSE)," ")</f>
        <v xml:space="preserve"> </v>
      </c>
      <c r="L845" s="121" t="str">
        <f>IFERROR(VLOOKUP(J845,'[1]ABC Master Lists'!$AQ$2:$AS$12,3,FALSE)," ")</f>
        <v xml:space="preserve"> </v>
      </c>
      <c r="M845" s="121"/>
    </row>
    <row r="846" spans="1:13" x14ac:dyDescent="0.25">
      <c r="D846" s="26">
        <v>23</v>
      </c>
      <c r="E846" s="51" t="s">
        <v>141</v>
      </c>
      <c r="F846" s="4">
        <v>1</v>
      </c>
      <c r="G846" s="76" t="s">
        <v>142</v>
      </c>
      <c r="H846" s="41" t="s">
        <v>143</v>
      </c>
      <c r="I846" s="36">
        <v>69</v>
      </c>
      <c r="J846" s="79">
        <f>IFERROR(VLOOKUP(I846,'[1]ABC Master Lists'!$B$2:$I$346,4,FALSE)," ")</f>
        <v>72826</v>
      </c>
      <c r="K846" s="79">
        <f>IFERROR(VLOOKUP(I846,'[1]ABC Master Lists'!$B$2:$I$346,8,FALSE)," ")</f>
        <v>16</v>
      </c>
      <c r="L846" s="118" t="str">
        <f>IFERROR(VLOOKUP(J846,'[1]ABC Master Lists'!$AQ$2:$AS$12,3,FALSE)," ")</f>
        <v xml:space="preserve"> </v>
      </c>
    </row>
    <row r="847" spans="1:13" x14ac:dyDescent="0.25">
      <c r="A847" s="25"/>
      <c r="B847" s="25"/>
      <c r="C847" s="25"/>
      <c r="E847" s="51" t="s">
        <v>133</v>
      </c>
      <c r="F847" s="4">
        <v>23</v>
      </c>
      <c r="G847" s="76" t="s">
        <v>80</v>
      </c>
      <c r="H847" s="41" t="s">
        <v>5</v>
      </c>
      <c r="J847" s="79" t="str">
        <f>IFERROR(VLOOKUP(I847,'[1]ABC Master Lists'!$B$2:$I$346,4,FALSE)," ")</f>
        <v xml:space="preserve"> </v>
      </c>
      <c r="K847" s="79" t="str">
        <f>IFERROR(VLOOKUP(I847,'[1]ABC Master Lists'!$B$2:$I$346,8,FALSE)," ")</f>
        <v xml:space="preserve"> </v>
      </c>
      <c r="L847" s="118" t="str">
        <f>IFERROR(VLOOKUP(J847,'[1]ABC Master Lists'!$AQ$2:$AS$12,3,FALSE)," ")</f>
        <v xml:space="preserve"> </v>
      </c>
      <c r="M847" s="118" t="str">
        <f>IFERROR(VLOOKUP(K847,'[1]ABC Master Lists'!$AD$2:$AE$22,2,FALSE), " ")</f>
        <v xml:space="preserve"> </v>
      </c>
    </row>
    <row r="848" spans="1:13" x14ac:dyDescent="0.25">
      <c r="A848" s="24">
        <v>2015</v>
      </c>
      <c r="B848" s="24" t="s">
        <v>168</v>
      </c>
      <c r="C848" s="24">
        <v>15231</v>
      </c>
      <c r="D848" s="27">
        <v>1</v>
      </c>
      <c r="E848" s="200" t="s">
        <v>144</v>
      </c>
      <c r="F848" s="17" t="s">
        <v>2</v>
      </c>
      <c r="G848" s="196" t="s">
        <v>2</v>
      </c>
      <c r="H848" s="37" t="s">
        <v>2</v>
      </c>
      <c r="I848" s="37">
        <v>1</v>
      </c>
      <c r="J848" s="81" t="str">
        <f>IFERROR(VLOOKUP(I848,'[1]ABC Master Lists'!$B$2:$I$346,4,FALSE)," ")</f>
        <v>.</v>
      </c>
      <c r="K848" s="81" t="str">
        <f>IFERROR(VLOOKUP(I848,'[1]ABC Master Lists'!$B$2:$I$346,8,FALSE)," ")</f>
        <v>.</v>
      </c>
      <c r="L848" s="120" t="str">
        <f>IFERROR(VLOOKUP(J848,'[1]ABC Master Lists'!$AQ$2:$AS$12,3,FALSE)," ")</f>
        <v>+</v>
      </c>
      <c r="M848" s="120" t="str">
        <f>IFERROR(VLOOKUP(K848,'[1]ABC Master Lists'!$AD$2:$AE$22,2,FALSE), " ")</f>
        <v>+</v>
      </c>
    </row>
    <row r="849" spans="4:13" x14ac:dyDescent="0.25">
      <c r="D849" s="26">
        <v>2</v>
      </c>
      <c r="E849" s="51" t="s">
        <v>113</v>
      </c>
      <c r="F849" s="4">
        <v>9</v>
      </c>
      <c r="G849" s="76" t="s">
        <v>80</v>
      </c>
      <c r="H849" s="41" t="s">
        <v>5</v>
      </c>
      <c r="I849" s="36">
        <v>17</v>
      </c>
      <c r="J849" s="79">
        <f>IFERROR(VLOOKUP(I849,'[1]ABC Master Lists'!$B$2:$I$346,4,FALSE)," ")</f>
        <v>20</v>
      </c>
      <c r="K849" s="79">
        <f>IFERROR(VLOOKUP(I849,'[1]ABC Master Lists'!$B$2:$I$346,8,FALSE)," ")</f>
        <v>6</v>
      </c>
      <c r="L849" s="118" t="str">
        <f>IFERROR(VLOOKUP(J849,'[1]ABC Master Lists'!$AQ$2:$AS$12,3,FALSE)," ")</f>
        <v>+</v>
      </c>
      <c r="M849" s="118" t="str">
        <f>IFERROR(VLOOKUP(K849,'[1]ABC Master Lists'!$AD$2:$AE$22,2,FALSE), " ")</f>
        <v>+</v>
      </c>
    </row>
    <row r="850" spans="4:13" x14ac:dyDescent="0.25">
      <c r="E850" s="51" t="s">
        <v>112</v>
      </c>
      <c r="F850" s="4">
        <v>0.25</v>
      </c>
      <c r="G850" s="76" t="s">
        <v>54</v>
      </c>
      <c r="H850" s="41" t="s">
        <v>5</v>
      </c>
      <c r="J850" s="79" t="str">
        <f>IFERROR(VLOOKUP(I850,'[1]ABC Master Lists'!$B$2:$I$346,4,FALSE)," ")</f>
        <v xml:space="preserve"> </v>
      </c>
      <c r="K850" s="79" t="str">
        <f>IFERROR(VLOOKUP(I850,'[1]ABC Master Lists'!$B$2:$I$346,8,FALSE)," ")</f>
        <v xml:space="preserve"> </v>
      </c>
      <c r="L850" s="118" t="str">
        <f>IFERROR(VLOOKUP(J850,'[1]ABC Master Lists'!$AQ$2:$AS$12,3,FALSE)," ")</f>
        <v xml:space="preserve"> </v>
      </c>
      <c r="M850" s="118" t="str">
        <f>IFERROR(VLOOKUP(K850,'[1]ABC Master Lists'!$AD$2:$AE$22,2,FALSE), " ")</f>
        <v xml:space="preserve"> </v>
      </c>
    </row>
    <row r="851" spans="4:13" x14ac:dyDescent="0.25">
      <c r="D851" s="28">
        <v>3</v>
      </c>
      <c r="E851" s="197" t="s">
        <v>113</v>
      </c>
      <c r="F851" s="20">
        <v>9</v>
      </c>
      <c r="G851" s="198" t="s">
        <v>80</v>
      </c>
      <c r="H851" s="44" t="s">
        <v>20</v>
      </c>
      <c r="I851" s="38">
        <v>19</v>
      </c>
      <c r="J851" s="83">
        <f>IFERROR(VLOOKUP(I851,'[1]ABC Master Lists'!$B$2:$I$346,4,FALSE)," ")</f>
        <v>20</v>
      </c>
      <c r="K851" s="83">
        <f>IFERROR(VLOOKUP(I851,'[1]ABC Master Lists'!$B$2:$I$346,8,FALSE)," ")</f>
        <v>8</v>
      </c>
      <c r="L851" s="122" t="str">
        <f>IFERROR(VLOOKUP(J851,'[1]ABC Master Lists'!$AQ$2:$AS$12,3,FALSE)," ")</f>
        <v>+</v>
      </c>
      <c r="M851" s="122" t="str">
        <f>IFERROR(VLOOKUP(K851,'[1]ABC Master Lists'!$AD$2:$AE$22,2,FALSE), " ")</f>
        <v>+</v>
      </c>
    </row>
    <row r="852" spans="4:13" x14ac:dyDescent="0.25">
      <c r="D852" s="29"/>
      <c r="E852" s="100" t="s">
        <v>112</v>
      </c>
      <c r="F852" s="23">
        <v>0.25</v>
      </c>
      <c r="G852" s="199" t="s">
        <v>54</v>
      </c>
      <c r="H852" s="47" t="s">
        <v>20</v>
      </c>
      <c r="I852" s="39"/>
      <c r="J852" s="82" t="str">
        <f>IFERROR(VLOOKUP(I852,'[1]ABC Master Lists'!$B$2:$I$346,4,FALSE)," ")</f>
        <v xml:space="preserve"> </v>
      </c>
      <c r="K852" s="82" t="str">
        <f>IFERROR(VLOOKUP(I852,'[1]ABC Master Lists'!$B$2:$I$346,8,FALSE)," ")</f>
        <v xml:space="preserve"> </v>
      </c>
      <c r="L852" s="121" t="str">
        <f>IFERROR(VLOOKUP(J852,'[1]ABC Master Lists'!$AQ$2:$AS$12,3,FALSE)," ")</f>
        <v xml:space="preserve"> </v>
      </c>
      <c r="M852" s="121" t="str">
        <f>IFERROR(VLOOKUP(K852,'[1]ABC Master Lists'!$AD$2:$AE$22,2,FALSE), " ")</f>
        <v xml:space="preserve"> </v>
      </c>
    </row>
    <row r="853" spans="4:13" x14ac:dyDescent="0.25">
      <c r="D853" s="26">
        <v>4</v>
      </c>
      <c r="E853" s="51" t="s">
        <v>113</v>
      </c>
      <c r="F853" s="4">
        <v>9</v>
      </c>
      <c r="G853" s="76" t="s">
        <v>80</v>
      </c>
      <c r="H853" s="41" t="s">
        <v>64</v>
      </c>
      <c r="I853" s="36">
        <v>20</v>
      </c>
      <c r="J853" s="79">
        <f>IFERROR(VLOOKUP(I853,'[1]ABC Master Lists'!$B$2:$I$346,4,FALSE)," ")</f>
        <v>20</v>
      </c>
      <c r="K853" s="79">
        <f>IFERROR(VLOOKUP(I853,'[1]ABC Master Lists'!$B$2:$I$346,8,FALSE)," ")</f>
        <v>9</v>
      </c>
      <c r="L853" s="118" t="str">
        <f>IFERROR(VLOOKUP(J853,'[1]ABC Master Lists'!$AQ$2:$AS$12,3,FALSE)," ")</f>
        <v>+</v>
      </c>
    </row>
    <row r="854" spans="4:13" x14ac:dyDescent="0.25">
      <c r="E854" s="51" t="s">
        <v>112</v>
      </c>
      <c r="F854" s="4">
        <v>0.25</v>
      </c>
      <c r="G854" s="76" t="s">
        <v>54</v>
      </c>
      <c r="H854" s="41" t="s">
        <v>64</v>
      </c>
      <c r="J854" s="79" t="str">
        <f>IFERROR(VLOOKUP(I854,'[1]ABC Master Lists'!$B$2:$I$346,4,FALSE)," ")</f>
        <v xml:space="preserve"> </v>
      </c>
      <c r="K854" s="79" t="str">
        <f>IFERROR(VLOOKUP(I854,'[1]ABC Master Lists'!$B$2:$I$346,8,FALSE)," ")</f>
        <v xml:space="preserve"> </v>
      </c>
      <c r="L854" s="118" t="str">
        <f>IFERROR(VLOOKUP(J854,'[1]ABC Master Lists'!$AQ$2:$AS$12,3,FALSE)," ")</f>
        <v xml:space="preserve"> </v>
      </c>
      <c r="M854" s="118" t="str">
        <f>IFERROR(VLOOKUP(K854,'[1]ABC Master Lists'!$AD$2:$AE$22,2,FALSE), " ")</f>
        <v xml:space="preserve"> </v>
      </c>
    </row>
    <row r="855" spans="4:13" x14ac:dyDescent="0.25">
      <c r="D855" s="28">
        <v>5</v>
      </c>
      <c r="E855" s="197" t="s">
        <v>113</v>
      </c>
      <c r="F855" s="20">
        <v>9</v>
      </c>
      <c r="G855" s="198" t="s">
        <v>80</v>
      </c>
      <c r="H855" s="44" t="s">
        <v>65</v>
      </c>
      <c r="I855" s="38">
        <v>21</v>
      </c>
      <c r="J855" s="83">
        <f>IFERROR(VLOOKUP(I855,'[1]ABC Master Lists'!$B$2:$I$346,4,FALSE)," ")</f>
        <v>20</v>
      </c>
      <c r="K855" s="83">
        <f>IFERROR(VLOOKUP(I855,'[1]ABC Master Lists'!$B$2:$I$346,8,FALSE)," ")</f>
        <v>10</v>
      </c>
      <c r="L855" s="122" t="str">
        <f>IFERROR(VLOOKUP(J855,'[1]ABC Master Lists'!$AQ$2:$AS$12,3,FALSE)," ")</f>
        <v>+</v>
      </c>
      <c r="M855" s="122" t="str">
        <f>IFERROR(VLOOKUP(K855,'[1]ABC Master Lists'!$AD$2:$AE$22,2,FALSE), " ")</f>
        <v>+</v>
      </c>
    </row>
    <row r="856" spans="4:13" x14ac:dyDescent="0.25">
      <c r="D856" s="29"/>
      <c r="E856" s="100" t="s">
        <v>112</v>
      </c>
      <c r="F856" s="23">
        <v>0.25</v>
      </c>
      <c r="G856" s="199" t="s">
        <v>54</v>
      </c>
      <c r="H856" s="47" t="s">
        <v>65</v>
      </c>
      <c r="I856" s="39"/>
      <c r="J856" s="82" t="str">
        <f>IFERROR(VLOOKUP(I856,'[1]ABC Master Lists'!$B$2:$I$346,4,FALSE)," ")</f>
        <v xml:space="preserve"> </v>
      </c>
      <c r="K856" s="82" t="str">
        <f>IFERROR(VLOOKUP(I856,'[1]ABC Master Lists'!$B$2:$I$346,8,FALSE)," ")</f>
        <v xml:space="preserve"> </v>
      </c>
      <c r="L856" s="121" t="str">
        <f>IFERROR(VLOOKUP(J856,'[1]ABC Master Lists'!$AQ$2:$AS$12,3,FALSE)," ")</f>
        <v xml:space="preserve"> </v>
      </c>
      <c r="M856" s="121" t="str">
        <f>IFERROR(VLOOKUP(K856,'[1]ABC Master Lists'!$AD$2:$AE$22,2,FALSE), " ")</f>
        <v xml:space="preserve"> </v>
      </c>
    </row>
    <row r="857" spans="4:13" x14ac:dyDescent="0.25">
      <c r="D857" s="26">
        <v>6</v>
      </c>
      <c r="E857" s="51" t="s">
        <v>113</v>
      </c>
      <c r="F857" s="4">
        <v>9</v>
      </c>
      <c r="G857" s="76" t="s">
        <v>80</v>
      </c>
      <c r="H857" s="41" t="s">
        <v>5</v>
      </c>
      <c r="I857" s="36">
        <v>23</v>
      </c>
      <c r="J857" s="79">
        <f>IFERROR(VLOOKUP(I857,'[1]ABC Master Lists'!$B$2:$I$346,4,FALSE)," ")</f>
        <v>20</v>
      </c>
      <c r="K857" s="79">
        <f>IFERROR(VLOOKUP(I857,'[1]ABC Master Lists'!$B$2:$I$346,8,FALSE)," ")</f>
        <v>68</v>
      </c>
      <c r="L857" s="118" t="str">
        <f>IFERROR(VLOOKUP(J857,'[1]ABC Master Lists'!$AQ$2:$AS$12,3,FALSE)," ")</f>
        <v>+</v>
      </c>
      <c r="M857" s="118" t="str">
        <f>IFERROR(VLOOKUP(K857,'[1]ABC Master Lists'!$AD$2:$AE$22,2,FALSE), " ")</f>
        <v>+</v>
      </c>
    </row>
    <row r="858" spans="4:13" x14ac:dyDescent="0.25">
      <c r="E858" s="51" t="s">
        <v>112</v>
      </c>
      <c r="F858" s="4">
        <v>0.25</v>
      </c>
      <c r="G858" s="76" t="s">
        <v>54</v>
      </c>
      <c r="H858" s="41" t="s">
        <v>5</v>
      </c>
      <c r="J858" s="79" t="str">
        <f>IFERROR(VLOOKUP(I858,'[1]ABC Master Lists'!$B$2:$I$346,4,FALSE)," ")</f>
        <v xml:space="preserve"> </v>
      </c>
      <c r="K858" s="79" t="str">
        <f>IFERROR(VLOOKUP(I858,'[1]ABC Master Lists'!$B$2:$I$346,8,FALSE)," ")</f>
        <v xml:space="preserve"> </v>
      </c>
      <c r="L858" s="118" t="str">
        <f>IFERROR(VLOOKUP(J858,'[1]ABC Master Lists'!$AQ$2:$AS$12,3,FALSE)," ")</f>
        <v xml:space="preserve"> </v>
      </c>
      <c r="M858" s="118" t="str">
        <f>IFERROR(VLOOKUP(K858,'[1]ABC Master Lists'!$AD$2:$AE$22,2,FALSE), " ")</f>
        <v xml:space="preserve"> </v>
      </c>
    </row>
    <row r="859" spans="4:13" x14ac:dyDescent="0.25">
      <c r="E859" s="51" t="s">
        <v>113</v>
      </c>
      <c r="F859" s="4">
        <v>9</v>
      </c>
      <c r="G859" s="76" t="s">
        <v>80</v>
      </c>
      <c r="H859" s="41" t="s">
        <v>20</v>
      </c>
      <c r="J859" s="79" t="str">
        <f>IFERROR(VLOOKUP(I859,'[1]ABC Master Lists'!$B$2:$I$346,4,FALSE)," ")</f>
        <v xml:space="preserve"> </v>
      </c>
      <c r="K859" s="79" t="str">
        <f>IFERROR(VLOOKUP(I859,'[1]ABC Master Lists'!$B$2:$I$346,8,FALSE)," ")</f>
        <v xml:space="preserve"> </v>
      </c>
      <c r="L859" s="118" t="str">
        <f>IFERROR(VLOOKUP(J859,'[1]ABC Master Lists'!$AQ$2:$AS$12,3,FALSE)," ")</f>
        <v xml:space="preserve"> </v>
      </c>
      <c r="M859" s="118" t="str">
        <f>IFERROR(VLOOKUP(K859,'[1]ABC Master Lists'!$AD$2:$AE$22,2,FALSE), " ")</f>
        <v xml:space="preserve"> </v>
      </c>
    </row>
    <row r="860" spans="4:13" x14ac:dyDescent="0.25">
      <c r="E860" s="51" t="s">
        <v>112</v>
      </c>
      <c r="F860" s="4">
        <v>0.25</v>
      </c>
      <c r="G860" s="76" t="s">
        <v>54</v>
      </c>
      <c r="H860" s="41" t="s">
        <v>20</v>
      </c>
      <c r="J860" s="79" t="str">
        <f>IFERROR(VLOOKUP(I860,'[1]ABC Master Lists'!$B$2:$I$346,4,FALSE)," ")</f>
        <v xml:space="preserve"> </v>
      </c>
      <c r="K860" s="79" t="str">
        <f>IFERROR(VLOOKUP(I860,'[1]ABC Master Lists'!$B$2:$I$346,8,FALSE)," ")</f>
        <v xml:space="preserve"> </v>
      </c>
      <c r="L860" s="118" t="str">
        <f>IFERROR(VLOOKUP(J860,'[1]ABC Master Lists'!$AQ$2:$AS$12,3,FALSE)," ")</f>
        <v xml:space="preserve"> </v>
      </c>
      <c r="M860" s="118" t="str">
        <f>IFERROR(VLOOKUP(K860,'[1]ABC Master Lists'!$AD$2:$AE$22,2,FALSE), " ")</f>
        <v xml:space="preserve"> </v>
      </c>
    </row>
    <row r="861" spans="4:13" x14ac:dyDescent="0.25">
      <c r="D861" s="28">
        <v>7</v>
      </c>
      <c r="E861" s="197" t="s">
        <v>10</v>
      </c>
      <c r="F861" s="20">
        <v>8</v>
      </c>
      <c r="G861" s="198" t="s">
        <v>46</v>
      </c>
      <c r="H861" s="44" t="s">
        <v>5</v>
      </c>
      <c r="I861" s="38">
        <v>90</v>
      </c>
      <c r="J861" s="83">
        <f>IFERROR(VLOOKUP(I861,'[1]ABC Master Lists'!$B$2:$I$346,4,FALSE)," ")</f>
        <v>4</v>
      </c>
      <c r="K861" s="83">
        <f>IFERROR(VLOOKUP(I861,'[1]ABC Master Lists'!$B$2:$I$346,8,FALSE)," ")</f>
        <v>6</v>
      </c>
      <c r="L861" s="122" t="str">
        <f>IFERROR(VLOOKUP(J861,'[1]ABC Master Lists'!$AQ$2:$AS$12,3,FALSE)," ")</f>
        <v>+</v>
      </c>
      <c r="M861" s="122" t="str">
        <f>IFERROR(VLOOKUP(K861,'[1]ABC Master Lists'!$AD$2:$AE$22,2,FALSE), " ")</f>
        <v>+</v>
      </c>
    </row>
    <row r="862" spans="4:13" x14ac:dyDescent="0.25">
      <c r="D862" s="29"/>
      <c r="E862" s="100" t="s">
        <v>112</v>
      </c>
      <c r="F862" s="23">
        <v>0.25</v>
      </c>
      <c r="G862" s="199" t="s">
        <v>54</v>
      </c>
      <c r="H862" s="47" t="s">
        <v>5</v>
      </c>
      <c r="I862" s="39"/>
      <c r="J862" s="82" t="str">
        <f>IFERROR(VLOOKUP(I862,'[1]ABC Master Lists'!$B$2:$I$346,4,FALSE)," ")</f>
        <v xml:space="preserve"> </v>
      </c>
      <c r="K862" s="82" t="str">
        <f>IFERROR(VLOOKUP(I862,'[1]ABC Master Lists'!$B$2:$I$346,8,FALSE)," ")</f>
        <v xml:space="preserve"> </v>
      </c>
      <c r="L862" s="121" t="str">
        <f>IFERROR(VLOOKUP(J862,'[1]ABC Master Lists'!$AQ$2:$AS$12,3,FALSE)," ")</f>
        <v xml:space="preserve"> </v>
      </c>
      <c r="M862" s="121" t="str">
        <f>IFERROR(VLOOKUP(K862,'[1]ABC Master Lists'!$AD$2:$AE$22,2,FALSE), " ")</f>
        <v xml:space="preserve"> </v>
      </c>
    </row>
    <row r="863" spans="4:13" x14ac:dyDescent="0.25">
      <c r="D863" s="26">
        <v>8</v>
      </c>
      <c r="E863" s="51" t="s">
        <v>10</v>
      </c>
      <c r="F863" s="4">
        <v>8</v>
      </c>
      <c r="G863" s="76" t="s">
        <v>46</v>
      </c>
      <c r="H863" s="41" t="s">
        <v>20</v>
      </c>
      <c r="I863" s="36">
        <v>92</v>
      </c>
      <c r="J863" s="79">
        <f>IFERROR(VLOOKUP(I863,'[1]ABC Master Lists'!$B$2:$I$346,4,FALSE)," ")</f>
        <v>4</v>
      </c>
      <c r="K863" s="79">
        <f>IFERROR(VLOOKUP(I863,'[1]ABC Master Lists'!$B$2:$I$346,8,FALSE)," ")</f>
        <v>8</v>
      </c>
      <c r="L863" s="118" t="str">
        <f>IFERROR(VLOOKUP(J863,'[1]ABC Master Lists'!$AQ$2:$AS$12,3,FALSE)," ")</f>
        <v>+</v>
      </c>
      <c r="M863" s="118" t="str">
        <f>IFERROR(VLOOKUP(K863,'[1]ABC Master Lists'!$AD$2:$AE$22,2,FALSE), " ")</f>
        <v>+</v>
      </c>
    </row>
    <row r="864" spans="4:13" x14ac:dyDescent="0.25">
      <c r="E864" s="51" t="s">
        <v>112</v>
      </c>
      <c r="F864" s="4">
        <v>0.25</v>
      </c>
      <c r="G864" s="76" t="s">
        <v>54</v>
      </c>
      <c r="H864" s="41" t="s">
        <v>20</v>
      </c>
      <c r="J864" s="79" t="str">
        <f>IFERROR(VLOOKUP(I864,'[1]ABC Master Lists'!$B$2:$I$346,4,FALSE)," ")</f>
        <v xml:space="preserve"> </v>
      </c>
      <c r="K864" s="79" t="str">
        <f>IFERROR(VLOOKUP(I864,'[1]ABC Master Lists'!$B$2:$I$346,8,FALSE)," ")</f>
        <v xml:space="preserve"> </v>
      </c>
      <c r="L864" s="118" t="str">
        <f>IFERROR(VLOOKUP(J864,'[1]ABC Master Lists'!$AQ$2:$AS$12,3,FALSE)," ")</f>
        <v xml:space="preserve"> </v>
      </c>
      <c r="M864" s="118" t="str">
        <f>IFERROR(VLOOKUP(K864,'[1]ABC Master Lists'!$AD$2:$AE$22,2,FALSE), " ")</f>
        <v xml:space="preserve"> </v>
      </c>
    </row>
    <row r="865" spans="4:13" x14ac:dyDescent="0.25">
      <c r="D865" s="28">
        <v>9</v>
      </c>
      <c r="E865" s="197" t="s">
        <v>10</v>
      </c>
      <c r="F865" s="20">
        <v>8</v>
      </c>
      <c r="G865" s="198" t="s">
        <v>46</v>
      </c>
      <c r="H865" s="44" t="s">
        <v>64</v>
      </c>
      <c r="I865" s="38">
        <v>93</v>
      </c>
      <c r="J865" s="83">
        <f>IFERROR(VLOOKUP(I865,'[1]ABC Master Lists'!$B$2:$I$346,4,FALSE)," ")</f>
        <v>4</v>
      </c>
      <c r="K865" s="83">
        <f>IFERROR(VLOOKUP(I865,'[1]ABC Master Lists'!$B$2:$I$346,8,FALSE)," ")</f>
        <v>9</v>
      </c>
      <c r="L865" s="122" t="str">
        <f>IFERROR(VLOOKUP(J865,'[1]ABC Master Lists'!$AQ$2:$AS$12,3,FALSE)," ")</f>
        <v>+</v>
      </c>
      <c r="M865" s="122"/>
    </row>
    <row r="866" spans="4:13" x14ac:dyDescent="0.25">
      <c r="D866" s="29"/>
      <c r="E866" s="100" t="s">
        <v>112</v>
      </c>
      <c r="F866" s="23">
        <v>0.25</v>
      </c>
      <c r="G866" s="199" t="s">
        <v>54</v>
      </c>
      <c r="H866" s="47" t="s">
        <v>64</v>
      </c>
      <c r="I866" s="39"/>
      <c r="J866" s="82" t="str">
        <f>IFERROR(VLOOKUP(I866,'[1]ABC Master Lists'!$B$2:$I$346,4,FALSE)," ")</f>
        <v xml:space="preserve"> </v>
      </c>
      <c r="K866" s="82" t="str">
        <f>IFERROR(VLOOKUP(I866,'[1]ABC Master Lists'!$B$2:$I$346,8,FALSE)," ")</f>
        <v xml:space="preserve"> </v>
      </c>
      <c r="L866" s="121" t="str">
        <f>IFERROR(VLOOKUP(J866,'[1]ABC Master Lists'!$AQ$2:$AS$12,3,FALSE)," ")</f>
        <v xml:space="preserve"> </v>
      </c>
      <c r="M866" s="121" t="str">
        <f>IFERROR(VLOOKUP(K866,'[1]ABC Master Lists'!$AD$2:$AE$22,2,FALSE), " ")</f>
        <v xml:space="preserve"> </v>
      </c>
    </row>
    <row r="867" spans="4:13" x14ac:dyDescent="0.25">
      <c r="D867" s="26">
        <v>10</v>
      </c>
      <c r="E867" s="51" t="s">
        <v>10</v>
      </c>
      <c r="F867" s="4">
        <v>8</v>
      </c>
      <c r="G867" s="76" t="s">
        <v>46</v>
      </c>
      <c r="H867" s="41" t="s">
        <v>65</v>
      </c>
      <c r="I867" s="36">
        <v>94</v>
      </c>
      <c r="J867" s="79">
        <f>IFERROR(VLOOKUP(I867,'[1]ABC Master Lists'!$B$2:$I$346,4,FALSE)," ")</f>
        <v>4</v>
      </c>
      <c r="K867" s="79">
        <f>IFERROR(VLOOKUP(I867,'[1]ABC Master Lists'!$B$2:$I$346,8,FALSE)," ")</f>
        <v>10</v>
      </c>
      <c r="L867" s="118" t="str">
        <f>IFERROR(VLOOKUP(J867,'[1]ABC Master Lists'!$AQ$2:$AS$12,3,FALSE)," ")</f>
        <v>+</v>
      </c>
      <c r="M867" s="118" t="str">
        <f>IFERROR(VLOOKUP(K867,'[1]ABC Master Lists'!$AD$2:$AE$22,2,FALSE), " ")</f>
        <v>+</v>
      </c>
    </row>
    <row r="868" spans="4:13" x14ac:dyDescent="0.25">
      <c r="E868" s="51" t="s">
        <v>112</v>
      </c>
      <c r="F868" s="4">
        <v>0.25</v>
      </c>
      <c r="G868" s="76" t="s">
        <v>54</v>
      </c>
      <c r="H868" s="41" t="s">
        <v>65</v>
      </c>
      <c r="J868" s="79" t="str">
        <f>IFERROR(VLOOKUP(I868,'[1]ABC Master Lists'!$B$2:$I$346,4,FALSE)," ")</f>
        <v xml:space="preserve"> </v>
      </c>
      <c r="K868" s="79" t="str">
        <f>IFERROR(VLOOKUP(I868,'[1]ABC Master Lists'!$B$2:$I$346,8,FALSE)," ")</f>
        <v xml:space="preserve"> </v>
      </c>
      <c r="L868" s="118" t="str">
        <f>IFERROR(VLOOKUP(J868,'[1]ABC Master Lists'!$AQ$2:$AS$12,3,FALSE)," ")</f>
        <v xml:space="preserve"> </v>
      </c>
      <c r="M868" s="118" t="str">
        <f>IFERROR(VLOOKUP(K868,'[1]ABC Master Lists'!$AD$2:$AE$22,2,FALSE), " ")</f>
        <v xml:space="preserve"> </v>
      </c>
    </row>
    <row r="869" spans="4:13" x14ac:dyDescent="0.25">
      <c r="D869" s="28">
        <v>11</v>
      </c>
      <c r="E869" s="197" t="s">
        <v>77</v>
      </c>
      <c r="F869" s="20">
        <v>5</v>
      </c>
      <c r="G869" s="198" t="s">
        <v>80</v>
      </c>
      <c r="H869" s="44" t="s">
        <v>5</v>
      </c>
      <c r="I869" s="38">
        <v>158</v>
      </c>
      <c r="J869" s="83">
        <f>IFERROR(VLOOKUP(I869,'[1]ABC Master Lists'!$B$2:$I$346,4,FALSE)," ")</f>
        <v>22</v>
      </c>
      <c r="K869" s="83">
        <f>IFERROR(VLOOKUP(I869,'[1]ABC Master Lists'!$B$2:$I$346,8,FALSE)," ")</f>
        <v>3</v>
      </c>
      <c r="L869" s="122" t="str">
        <f>IFERROR(VLOOKUP(J869,'[1]ABC Master Lists'!$AQ$2:$AS$12,3,FALSE)," ")</f>
        <v>+</v>
      </c>
      <c r="M869" s="122"/>
    </row>
    <row r="870" spans="4:13" x14ac:dyDescent="0.25">
      <c r="D870" s="29"/>
      <c r="E870" s="100" t="s">
        <v>112</v>
      </c>
      <c r="F870" s="23">
        <v>0.25</v>
      </c>
      <c r="G870" s="199" t="s">
        <v>54</v>
      </c>
      <c r="H870" s="47" t="s">
        <v>5</v>
      </c>
      <c r="I870" s="39"/>
      <c r="J870" s="82" t="str">
        <f>IFERROR(VLOOKUP(I870,'[1]ABC Master Lists'!$B$2:$I$346,4,FALSE)," ")</f>
        <v xml:space="preserve"> </v>
      </c>
      <c r="K870" s="82" t="str">
        <f>IFERROR(VLOOKUP(I870,'[1]ABC Master Lists'!$B$2:$I$346,8,FALSE)," ")</f>
        <v xml:space="preserve"> </v>
      </c>
      <c r="L870" s="121" t="str">
        <f>IFERROR(VLOOKUP(J870,'[1]ABC Master Lists'!$AQ$2:$AS$12,3,FALSE)," ")</f>
        <v xml:space="preserve"> </v>
      </c>
      <c r="M870" s="121" t="str">
        <f>IFERROR(VLOOKUP(K870,'[1]ABC Master Lists'!$AD$2:$AE$22,2,FALSE), " ")</f>
        <v xml:space="preserve"> </v>
      </c>
    </row>
    <row r="871" spans="4:13" x14ac:dyDescent="0.25">
      <c r="D871" s="26">
        <v>12</v>
      </c>
      <c r="E871" s="51" t="s">
        <v>77</v>
      </c>
      <c r="F871" s="4">
        <v>5</v>
      </c>
      <c r="G871" s="76" t="s">
        <v>80</v>
      </c>
      <c r="H871" s="41" t="s">
        <v>20</v>
      </c>
      <c r="I871" s="36">
        <v>160</v>
      </c>
      <c r="J871" s="79">
        <f>IFERROR(VLOOKUP(I871,'[1]ABC Master Lists'!$B$2:$I$346,4,FALSE)," ")</f>
        <v>22</v>
      </c>
      <c r="K871" s="79">
        <f>IFERROR(VLOOKUP(I871,'[1]ABC Master Lists'!$B$2:$I$346,8,FALSE)," ")</f>
        <v>8</v>
      </c>
      <c r="L871" s="118" t="str">
        <f>IFERROR(VLOOKUP(J871,'[1]ABC Master Lists'!$AQ$2:$AS$12,3,FALSE)," ")</f>
        <v>+</v>
      </c>
      <c r="M871" s="118" t="str">
        <f>IFERROR(VLOOKUP(K871,'[1]ABC Master Lists'!$AD$2:$AE$22,2,FALSE), " ")</f>
        <v>+</v>
      </c>
    </row>
    <row r="872" spans="4:13" x14ac:dyDescent="0.25">
      <c r="E872" s="51" t="s">
        <v>112</v>
      </c>
      <c r="F872" s="4">
        <v>0.25</v>
      </c>
      <c r="G872" s="76" t="s">
        <v>54</v>
      </c>
      <c r="H872" s="41" t="s">
        <v>20</v>
      </c>
      <c r="J872" s="79" t="str">
        <f>IFERROR(VLOOKUP(I872,'[1]ABC Master Lists'!$B$2:$I$346,4,FALSE)," ")</f>
        <v xml:space="preserve"> </v>
      </c>
      <c r="K872" s="79" t="str">
        <f>IFERROR(VLOOKUP(I872,'[1]ABC Master Lists'!$B$2:$I$346,8,FALSE)," ")</f>
        <v xml:space="preserve"> </v>
      </c>
      <c r="L872" s="118" t="str">
        <f>IFERROR(VLOOKUP(J872,'[1]ABC Master Lists'!$AQ$2:$AS$12,3,FALSE)," ")</f>
        <v xml:space="preserve"> </v>
      </c>
      <c r="M872" s="118" t="str">
        <f>IFERROR(VLOOKUP(K872,'[1]ABC Master Lists'!$AD$2:$AE$22,2,FALSE), " ")</f>
        <v xml:space="preserve"> </v>
      </c>
    </row>
    <row r="873" spans="4:13" x14ac:dyDescent="0.25">
      <c r="D873" s="28">
        <v>13</v>
      </c>
      <c r="E873" s="197" t="s">
        <v>77</v>
      </c>
      <c r="F873" s="20">
        <v>5</v>
      </c>
      <c r="G873" s="198" t="s">
        <v>80</v>
      </c>
      <c r="H873" s="44" t="s">
        <v>64</v>
      </c>
      <c r="I873" s="38">
        <v>161</v>
      </c>
      <c r="J873" s="83">
        <f>IFERROR(VLOOKUP(I873,'[1]ABC Master Lists'!$B$2:$I$346,4,FALSE)," ")</f>
        <v>22</v>
      </c>
      <c r="K873" s="83">
        <f>IFERROR(VLOOKUP(I873,'[1]ABC Master Lists'!$B$2:$I$346,8,FALSE)," ")</f>
        <v>9</v>
      </c>
      <c r="L873" s="122" t="str">
        <f>IFERROR(VLOOKUP(J873,'[1]ABC Master Lists'!$AQ$2:$AS$12,3,FALSE)," ")</f>
        <v>+</v>
      </c>
      <c r="M873" s="122"/>
    </row>
    <row r="874" spans="4:13" x14ac:dyDescent="0.25">
      <c r="D874" s="29"/>
      <c r="E874" s="100" t="s">
        <v>112</v>
      </c>
      <c r="F874" s="23">
        <v>0.25</v>
      </c>
      <c r="G874" s="199" t="s">
        <v>54</v>
      </c>
      <c r="H874" s="47" t="s">
        <v>64</v>
      </c>
      <c r="I874" s="39"/>
      <c r="J874" s="82" t="str">
        <f>IFERROR(VLOOKUP(I874,'[1]ABC Master Lists'!$B$2:$I$346,4,FALSE)," ")</f>
        <v xml:space="preserve"> </v>
      </c>
      <c r="K874" s="82" t="str">
        <f>IFERROR(VLOOKUP(I874,'[1]ABC Master Lists'!$B$2:$I$346,8,FALSE)," ")</f>
        <v xml:space="preserve"> </v>
      </c>
      <c r="L874" s="121" t="str">
        <f>IFERROR(VLOOKUP(J874,'[1]ABC Master Lists'!$AQ$2:$AS$12,3,FALSE)," ")</f>
        <v xml:space="preserve"> </v>
      </c>
      <c r="M874" s="121" t="str">
        <f>IFERROR(VLOOKUP(K874,'[1]ABC Master Lists'!$AD$2:$AE$22,2,FALSE), " ")</f>
        <v xml:space="preserve"> </v>
      </c>
    </row>
    <row r="875" spans="4:13" x14ac:dyDescent="0.25">
      <c r="D875" s="26">
        <v>14</v>
      </c>
      <c r="E875" s="51" t="s">
        <v>77</v>
      </c>
      <c r="F875" s="4">
        <v>5</v>
      </c>
      <c r="G875" s="76" t="s">
        <v>80</v>
      </c>
      <c r="H875" s="41" t="s">
        <v>65</v>
      </c>
      <c r="I875" s="36">
        <v>162</v>
      </c>
      <c r="J875" s="79">
        <f>IFERROR(VLOOKUP(I875,'[1]ABC Master Lists'!$B$2:$I$346,4,FALSE)," ")</f>
        <v>22</v>
      </c>
      <c r="K875" s="79">
        <f>IFERROR(VLOOKUP(I875,'[1]ABC Master Lists'!$B$2:$I$346,8,FALSE)," ")</f>
        <v>10</v>
      </c>
      <c r="L875" s="118" t="str">
        <f>IFERROR(VLOOKUP(J875,'[1]ABC Master Lists'!$AQ$2:$AS$12,3,FALSE)," ")</f>
        <v>+</v>
      </c>
      <c r="M875" s="118" t="str">
        <f>IFERROR(VLOOKUP(K875,'[1]ABC Master Lists'!$AD$2:$AE$22,2,FALSE), " ")</f>
        <v>+</v>
      </c>
    </row>
    <row r="876" spans="4:13" x14ac:dyDescent="0.25">
      <c r="E876" s="51" t="s">
        <v>112</v>
      </c>
      <c r="F876" s="4">
        <v>0.25</v>
      </c>
      <c r="G876" s="76" t="s">
        <v>54</v>
      </c>
      <c r="H876" s="41" t="s">
        <v>65</v>
      </c>
      <c r="J876" s="79" t="str">
        <f>IFERROR(VLOOKUP(I876,'[1]ABC Master Lists'!$B$2:$I$346,4,FALSE)," ")</f>
        <v xml:space="preserve"> </v>
      </c>
      <c r="K876" s="79" t="str">
        <f>IFERROR(VLOOKUP(I876,'[1]ABC Master Lists'!$B$2:$I$346,8,FALSE)," ")</f>
        <v xml:space="preserve"> </v>
      </c>
      <c r="L876" s="118" t="str">
        <f>IFERROR(VLOOKUP(J876,'[1]ABC Master Lists'!$AQ$2:$AS$12,3,FALSE)," ")</f>
        <v xml:space="preserve"> </v>
      </c>
      <c r="M876" s="118" t="str">
        <f>IFERROR(VLOOKUP(K876,'[1]ABC Master Lists'!$AD$2:$AE$22,2,FALSE), " ")</f>
        <v xml:space="preserve"> </v>
      </c>
    </row>
    <row r="877" spans="4:13" x14ac:dyDescent="0.25">
      <c r="D877" s="28">
        <v>15</v>
      </c>
      <c r="E877" s="197" t="s">
        <v>10</v>
      </c>
      <c r="F877" s="20">
        <v>6</v>
      </c>
      <c r="G877" s="198" t="s">
        <v>46</v>
      </c>
      <c r="H877" s="44" t="s">
        <v>34</v>
      </c>
      <c r="I877" s="38">
        <v>86</v>
      </c>
      <c r="J877" s="83">
        <f>IFERROR(VLOOKUP(I877,'[1]ABC Master Lists'!$B$2:$I$346,4,FALSE)," ")</f>
        <v>4</v>
      </c>
      <c r="K877" s="83">
        <f>IFERROR(VLOOKUP(I877,'[1]ABC Master Lists'!$B$2:$I$346,8,FALSE)," ")</f>
        <v>5</v>
      </c>
      <c r="L877" s="122" t="str">
        <f>IFERROR(VLOOKUP(J877,'[1]ABC Master Lists'!$AQ$2:$AS$12,3,FALSE)," ")</f>
        <v>+</v>
      </c>
      <c r="M877" s="122" t="str">
        <f>IFERROR(VLOOKUP(K877,'[1]ABC Master Lists'!$AD$2:$AE$22,2,FALSE), " ")</f>
        <v>+</v>
      </c>
    </row>
    <row r="878" spans="4:13" x14ac:dyDescent="0.25">
      <c r="D878" s="29"/>
      <c r="E878" s="100" t="s">
        <v>112</v>
      </c>
      <c r="F878" s="23">
        <v>0.25</v>
      </c>
      <c r="G878" s="199" t="s">
        <v>54</v>
      </c>
      <c r="H878" s="47" t="s">
        <v>34</v>
      </c>
      <c r="I878" s="39"/>
      <c r="J878" s="82" t="str">
        <f>IFERROR(VLOOKUP(I878,'[1]ABC Master Lists'!$B$2:$I$346,4,FALSE)," ")</f>
        <v xml:space="preserve"> </v>
      </c>
      <c r="K878" s="82" t="str">
        <f>IFERROR(VLOOKUP(I878,'[1]ABC Master Lists'!$B$2:$I$346,8,FALSE)," ")</f>
        <v xml:space="preserve"> </v>
      </c>
      <c r="L878" s="121" t="str">
        <f>IFERROR(VLOOKUP(J878,'[1]ABC Master Lists'!$AQ$2:$AS$12,3,FALSE)," ")</f>
        <v xml:space="preserve"> </v>
      </c>
      <c r="M878" s="121" t="str">
        <f>IFERROR(VLOOKUP(K878,'[1]ABC Master Lists'!$AD$2:$AE$22,2,FALSE), " ")</f>
        <v xml:space="preserve"> </v>
      </c>
    </row>
    <row r="879" spans="4:13" x14ac:dyDescent="0.25">
      <c r="D879" s="26">
        <v>16</v>
      </c>
      <c r="E879" s="51" t="s">
        <v>113</v>
      </c>
      <c r="F879" s="4">
        <v>9</v>
      </c>
      <c r="G879" s="76" t="s">
        <v>80</v>
      </c>
      <c r="H879" s="41" t="s">
        <v>34</v>
      </c>
      <c r="I879" s="36">
        <v>16</v>
      </c>
      <c r="J879" s="79">
        <f>IFERROR(VLOOKUP(I879,'[1]ABC Master Lists'!$B$2:$I$346,4,FALSE)," ")</f>
        <v>20</v>
      </c>
      <c r="K879" s="79">
        <f>IFERROR(VLOOKUP(I879,'[1]ABC Master Lists'!$B$2:$I$346,8,FALSE)," ")</f>
        <v>5</v>
      </c>
      <c r="L879" s="118" t="str">
        <f>IFERROR(VLOOKUP(J879,'[1]ABC Master Lists'!$AQ$2:$AS$12,3,FALSE)," ")</f>
        <v>+</v>
      </c>
      <c r="M879" s="118" t="str">
        <f>IFERROR(VLOOKUP(K879,'[1]ABC Master Lists'!$AD$2:$AE$22,2,FALSE), " ")</f>
        <v>+</v>
      </c>
    </row>
    <row r="880" spans="4:13" x14ac:dyDescent="0.25">
      <c r="E880" s="51" t="s">
        <v>112</v>
      </c>
      <c r="F880" s="4">
        <v>0.25</v>
      </c>
      <c r="G880" s="76" t="s">
        <v>54</v>
      </c>
      <c r="H880" s="41" t="s">
        <v>34</v>
      </c>
      <c r="J880" s="79" t="str">
        <f>IFERROR(VLOOKUP(I880,'[1]ABC Master Lists'!$B$2:$I$346,4,FALSE)," ")</f>
        <v xml:space="preserve"> </v>
      </c>
      <c r="K880" s="79" t="str">
        <f>IFERROR(VLOOKUP(I880,'[1]ABC Master Lists'!$B$2:$I$346,8,FALSE)," ")</f>
        <v xml:space="preserve"> </v>
      </c>
      <c r="L880" s="118" t="str">
        <f>IFERROR(VLOOKUP(J880,'[1]ABC Master Lists'!$AQ$2:$AS$12,3,FALSE)," ")</f>
        <v xml:space="preserve"> </v>
      </c>
      <c r="M880" s="118" t="str">
        <f>IFERROR(VLOOKUP(K880,'[1]ABC Master Lists'!$AD$2:$AE$22,2,FALSE), " ")</f>
        <v xml:space="preserve"> </v>
      </c>
    </row>
    <row r="881" spans="1:13" x14ac:dyDescent="0.25">
      <c r="D881" s="28">
        <v>17</v>
      </c>
      <c r="E881" s="197" t="s">
        <v>18</v>
      </c>
      <c r="F881" s="20">
        <v>6</v>
      </c>
      <c r="G881" s="198" t="s">
        <v>80</v>
      </c>
      <c r="H881" s="44" t="s">
        <v>62</v>
      </c>
      <c r="I881" s="38">
        <v>49</v>
      </c>
      <c r="J881" s="83">
        <f>IFERROR(VLOOKUP(I881,'[1]ABC Master Lists'!$B$2:$I$346,4,FALSE)," ")</f>
        <v>18</v>
      </c>
      <c r="K881" s="83">
        <f>IFERROR(VLOOKUP(I881,'[1]ABC Master Lists'!$B$2:$I$346,8,FALSE)," ")</f>
        <v>3</v>
      </c>
      <c r="L881" s="122" t="str">
        <f>IFERROR(VLOOKUP(J881,'[1]ABC Master Lists'!$AQ$2:$AS$12,3,FALSE)," ")</f>
        <v>+</v>
      </c>
      <c r="M881" s="122"/>
    </row>
    <row r="882" spans="1:13" x14ac:dyDescent="0.25">
      <c r="D882" s="29"/>
      <c r="E882" s="100" t="s">
        <v>112</v>
      </c>
      <c r="F882" s="23">
        <v>0.25</v>
      </c>
      <c r="G882" s="199" t="s">
        <v>54</v>
      </c>
      <c r="H882" s="47" t="s">
        <v>62</v>
      </c>
      <c r="I882" s="39"/>
      <c r="J882" s="82" t="str">
        <f>IFERROR(VLOOKUP(I882,'[1]ABC Master Lists'!$B$2:$I$346,4,FALSE)," ")</f>
        <v xml:space="preserve"> </v>
      </c>
      <c r="K882" s="82" t="str">
        <f>IFERROR(VLOOKUP(I882,'[1]ABC Master Lists'!$B$2:$I$346,8,FALSE)," ")</f>
        <v xml:space="preserve"> </v>
      </c>
      <c r="L882" s="121" t="str">
        <f>IFERROR(VLOOKUP(J882,'[1]ABC Master Lists'!$AQ$2:$AS$12,3,FALSE)," ")</f>
        <v xml:space="preserve"> </v>
      </c>
      <c r="M882" s="121" t="str">
        <f>IFERROR(VLOOKUP(K882,'[1]ABC Master Lists'!$AD$2:$AE$22,2,FALSE), " ")</f>
        <v xml:space="preserve"> </v>
      </c>
    </row>
    <row r="883" spans="1:13" x14ac:dyDescent="0.25">
      <c r="D883" s="26">
        <v>18</v>
      </c>
      <c r="E883" s="51" t="s">
        <v>18</v>
      </c>
      <c r="F883" s="4">
        <v>6</v>
      </c>
      <c r="G883" s="76" t="s">
        <v>80</v>
      </c>
      <c r="H883" s="41" t="s">
        <v>34</v>
      </c>
      <c r="I883" s="36">
        <v>51</v>
      </c>
      <c r="J883" s="79">
        <f>IFERROR(VLOOKUP(I883,'[1]ABC Master Lists'!$B$2:$I$346,4,FALSE)," ")</f>
        <v>18</v>
      </c>
      <c r="K883" s="79">
        <f>IFERROR(VLOOKUP(I883,'[1]ABC Master Lists'!$B$2:$I$346,8,FALSE)," ")</f>
        <v>5</v>
      </c>
      <c r="L883" s="118" t="str">
        <f>IFERROR(VLOOKUP(J883,'[1]ABC Master Lists'!$AQ$2:$AS$12,3,FALSE)," ")</f>
        <v>+</v>
      </c>
      <c r="M883" s="118" t="str">
        <f>IFERROR(VLOOKUP(K883,'[1]ABC Master Lists'!$AD$2:$AE$22,2,FALSE), " ")</f>
        <v>+</v>
      </c>
    </row>
    <row r="884" spans="1:13" x14ac:dyDescent="0.25">
      <c r="E884" s="51" t="s">
        <v>112</v>
      </c>
      <c r="F884" s="4">
        <v>0.25</v>
      </c>
      <c r="G884" s="76" t="s">
        <v>54</v>
      </c>
      <c r="H884" s="41" t="s">
        <v>34</v>
      </c>
      <c r="J884" s="79" t="str">
        <f>IFERROR(VLOOKUP(I884,'[1]ABC Master Lists'!$B$2:$I$346,4,FALSE)," ")</f>
        <v xml:space="preserve"> </v>
      </c>
      <c r="K884" s="79" t="str">
        <f>IFERROR(VLOOKUP(I884,'[1]ABC Master Lists'!$B$2:$I$346,8,FALSE)," ")</f>
        <v xml:space="preserve"> </v>
      </c>
      <c r="L884" s="118" t="str">
        <f>IFERROR(VLOOKUP(J884,'[1]ABC Master Lists'!$AQ$2:$AS$12,3,FALSE)," ")</f>
        <v xml:space="preserve"> </v>
      </c>
      <c r="M884" s="118" t="str">
        <f>IFERROR(VLOOKUP(K884,'[1]ABC Master Lists'!$AD$2:$AE$22,2,FALSE), " ")</f>
        <v xml:space="preserve"> </v>
      </c>
    </row>
    <row r="885" spans="1:13" x14ac:dyDescent="0.25">
      <c r="D885" s="28">
        <v>19</v>
      </c>
      <c r="E885" s="197" t="s">
        <v>18</v>
      </c>
      <c r="F885" s="20">
        <v>6</v>
      </c>
      <c r="G885" s="198" t="s">
        <v>80</v>
      </c>
      <c r="H885" s="44" t="s">
        <v>5</v>
      </c>
      <c r="I885" s="38">
        <v>52</v>
      </c>
      <c r="J885" s="83">
        <f>IFERROR(VLOOKUP(I885,'[1]ABC Master Lists'!$B$2:$I$346,4,FALSE)," ")</f>
        <v>18</v>
      </c>
      <c r="K885" s="83">
        <f>IFERROR(VLOOKUP(I885,'[1]ABC Master Lists'!$B$2:$I$346,8,FALSE)," ")</f>
        <v>6</v>
      </c>
      <c r="L885" s="122" t="str">
        <f>IFERROR(VLOOKUP(J885,'[1]ABC Master Lists'!$AQ$2:$AS$12,3,FALSE)," ")</f>
        <v>+</v>
      </c>
      <c r="M885" s="122" t="str">
        <f>IFERROR(VLOOKUP(K885,'[1]ABC Master Lists'!$AD$2:$AE$22,2,FALSE), " ")</f>
        <v>+</v>
      </c>
    </row>
    <row r="886" spans="1:13" x14ac:dyDescent="0.25">
      <c r="D886" s="29"/>
      <c r="E886" s="100" t="s">
        <v>112</v>
      </c>
      <c r="F886" s="23">
        <v>0.25</v>
      </c>
      <c r="G886" s="199" t="s">
        <v>54</v>
      </c>
      <c r="H886" s="47" t="s">
        <v>5</v>
      </c>
      <c r="I886" s="39"/>
      <c r="J886" s="82" t="str">
        <f>IFERROR(VLOOKUP(I886,'[1]ABC Master Lists'!$B$2:$I$346,4,FALSE)," ")</f>
        <v xml:space="preserve"> </v>
      </c>
      <c r="K886" s="82" t="str">
        <f>IFERROR(VLOOKUP(I886,'[1]ABC Master Lists'!$B$2:$I$346,8,FALSE)," ")</f>
        <v xml:space="preserve"> </v>
      </c>
      <c r="L886" s="121" t="str">
        <f>IFERROR(VLOOKUP(J886,'[1]ABC Master Lists'!$AQ$2:$AS$12,3,FALSE)," ")</f>
        <v xml:space="preserve"> </v>
      </c>
      <c r="M886" s="121" t="str">
        <f>IFERROR(VLOOKUP(K886,'[1]ABC Master Lists'!$AD$2:$AE$22,2,FALSE), " ")</f>
        <v xml:space="preserve"> </v>
      </c>
    </row>
    <row r="887" spans="1:13" x14ac:dyDescent="0.25">
      <c r="A887" s="31">
        <v>2016</v>
      </c>
      <c r="B887" s="31" t="s">
        <v>168</v>
      </c>
      <c r="C887" s="31">
        <v>16224</v>
      </c>
      <c r="D887" s="26">
        <v>1</v>
      </c>
      <c r="E887" s="51" t="s">
        <v>144</v>
      </c>
      <c r="F887" s="4" t="s">
        <v>2</v>
      </c>
      <c r="G887" s="71" t="s">
        <v>2</v>
      </c>
      <c r="H887" s="36" t="s">
        <v>2</v>
      </c>
      <c r="I887" s="36">
        <v>1</v>
      </c>
      <c r="J887" s="79" t="str">
        <f>IFERROR(VLOOKUP(I887,'[1]ABC Master Lists'!$B$2:$I$346,4,FALSE)," ")</f>
        <v>.</v>
      </c>
      <c r="K887" s="79" t="str">
        <f>IFERROR(VLOOKUP(I887,'[1]ABC Master Lists'!$B$2:$I$346,8,FALSE)," ")</f>
        <v>.</v>
      </c>
      <c r="L887" s="118" t="str">
        <f>IFERROR(VLOOKUP(J887,'[1]ABC Master Lists'!$AQ$2:$AS$12,3,FALSE)," ")</f>
        <v>+</v>
      </c>
      <c r="M887" s="118" t="str">
        <f>IFERROR(VLOOKUP(K887,'[1]ABC Master Lists'!$AD$2:$AE$22,2,FALSE), " ")</f>
        <v>+</v>
      </c>
    </row>
    <row r="888" spans="1:13" x14ac:dyDescent="0.25">
      <c r="D888" s="28">
        <v>2</v>
      </c>
      <c r="E888" s="197" t="s">
        <v>113</v>
      </c>
      <c r="F888" s="20">
        <v>9</v>
      </c>
      <c r="G888" s="198" t="s">
        <v>80</v>
      </c>
      <c r="H888" s="44" t="s">
        <v>5</v>
      </c>
      <c r="I888" s="38">
        <v>17</v>
      </c>
      <c r="J888" s="83">
        <f>IFERROR(VLOOKUP(I888,'[1]ABC Master Lists'!$B$2:$I$346,4,FALSE)," ")</f>
        <v>20</v>
      </c>
      <c r="K888" s="83">
        <f>IFERROR(VLOOKUP(I888,'[1]ABC Master Lists'!$B$2:$I$346,8,FALSE)," ")</f>
        <v>6</v>
      </c>
      <c r="L888" s="122" t="str">
        <f>IFERROR(VLOOKUP(J888,'[1]ABC Master Lists'!$AQ$2:$AS$12,3,FALSE)," ")</f>
        <v>+</v>
      </c>
      <c r="M888" s="122" t="str">
        <f>IFERROR(VLOOKUP(K888,'[1]ABC Master Lists'!$AD$2:$AE$22,2,FALSE), " ")</f>
        <v>+</v>
      </c>
    </row>
    <row r="889" spans="1:13" x14ac:dyDescent="0.25">
      <c r="D889" s="29"/>
      <c r="E889" s="100" t="s">
        <v>112</v>
      </c>
      <c r="F889" s="23">
        <v>0.25</v>
      </c>
      <c r="G889" s="199" t="s">
        <v>54</v>
      </c>
      <c r="H889" s="47" t="s">
        <v>5</v>
      </c>
      <c r="I889" s="39"/>
      <c r="J889" s="82" t="str">
        <f>IFERROR(VLOOKUP(I889,'[1]ABC Master Lists'!$B$2:$I$346,4,FALSE)," ")</f>
        <v xml:space="preserve"> </v>
      </c>
      <c r="K889" s="82" t="str">
        <f>IFERROR(VLOOKUP(I889,'[1]ABC Master Lists'!$B$2:$I$346,8,FALSE)," ")</f>
        <v xml:space="preserve"> </v>
      </c>
      <c r="L889" s="121" t="str">
        <f>IFERROR(VLOOKUP(J889,'[1]ABC Master Lists'!$AQ$2:$AS$12,3,FALSE)," ")</f>
        <v xml:space="preserve"> </v>
      </c>
      <c r="M889" s="121" t="str">
        <f>IFERROR(VLOOKUP(K889,'[1]ABC Master Lists'!$AD$2:$AE$22,2,FALSE), " ")</f>
        <v xml:space="preserve"> </v>
      </c>
    </row>
    <row r="890" spans="1:13" x14ac:dyDescent="0.25">
      <c r="D890" s="26">
        <v>3</v>
      </c>
      <c r="E890" s="51" t="s">
        <v>113</v>
      </c>
      <c r="F890" s="4">
        <v>9</v>
      </c>
      <c r="G890" s="76" t="s">
        <v>80</v>
      </c>
      <c r="H890" s="41" t="s">
        <v>20</v>
      </c>
      <c r="I890" s="36">
        <v>19</v>
      </c>
      <c r="J890" s="79">
        <f>IFERROR(VLOOKUP(I890,'[1]ABC Master Lists'!$B$2:$I$346,4,FALSE)," ")</f>
        <v>20</v>
      </c>
      <c r="K890" s="79">
        <f>IFERROR(VLOOKUP(I890,'[1]ABC Master Lists'!$B$2:$I$346,8,FALSE)," ")</f>
        <v>8</v>
      </c>
      <c r="L890" s="118" t="str">
        <f>IFERROR(VLOOKUP(J890,'[1]ABC Master Lists'!$AQ$2:$AS$12,3,FALSE)," ")</f>
        <v>+</v>
      </c>
      <c r="M890" s="118" t="str">
        <f>IFERROR(VLOOKUP(K890,'[1]ABC Master Lists'!$AD$2:$AE$22,2,FALSE), " ")</f>
        <v>+</v>
      </c>
    </row>
    <row r="891" spans="1:13" x14ac:dyDescent="0.25">
      <c r="E891" s="51" t="s">
        <v>112</v>
      </c>
      <c r="F891" s="4">
        <v>0.25</v>
      </c>
      <c r="G891" s="76" t="s">
        <v>54</v>
      </c>
      <c r="H891" s="41" t="s">
        <v>20</v>
      </c>
      <c r="J891" s="79" t="str">
        <f>IFERROR(VLOOKUP(I891,'[1]ABC Master Lists'!$B$2:$I$346,4,FALSE)," ")</f>
        <v xml:space="preserve"> </v>
      </c>
      <c r="K891" s="79" t="str">
        <f>IFERROR(VLOOKUP(I891,'[1]ABC Master Lists'!$B$2:$I$346,8,FALSE)," ")</f>
        <v xml:space="preserve"> </v>
      </c>
      <c r="L891" s="118" t="str">
        <f>IFERROR(VLOOKUP(J891,'[1]ABC Master Lists'!$AQ$2:$AS$12,3,FALSE)," ")</f>
        <v xml:space="preserve"> </v>
      </c>
      <c r="M891" s="118" t="str">
        <f>IFERROR(VLOOKUP(K891,'[1]ABC Master Lists'!$AD$2:$AE$22,2,FALSE), " ")</f>
        <v xml:space="preserve"> </v>
      </c>
    </row>
    <row r="892" spans="1:13" x14ac:dyDescent="0.25">
      <c r="D892" s="28">
        <v>4</v>
      </c>
      <c r="E892" s="197" t="s">
        <v>113</v>
      </c>
      <c r="F892" s="20">
        <v>9</v>
      </c>
      <c r="G892" s="198" t="s">
        <v>80</v>
      </c>
      <c r="H892" s="44" t="s">
        <v>64</v>
      </c>
      <c r="I892" s="38">
        <v>20</v>
      </c>
      <c r="J892" s="83">
        <f>IFERROR(VLOOKUP(I892,'[1]ABC Master Lists'!$B$2:$I$346,4,FALSE)," ")</f>
        <v>20</v>
      </c>
      <c r="K892" s="83">
        <f>IFERROR(VLOOKUP(I892,'[1]ABC Master Lists'!$B$2:$I$346,8,FALSE)," ")</f>
        <v>9</v>
      </c>
      <c r="L892" s="122" t="str">
        <f>IFERROR(VLOOKUP(J892,'[1]ABC Master Lists'!$AQ$2:$AS$12,3,FALSE)," ")</f>
        <v>+</v>
      </c>
      <c r="M892" s="122"/>
    </row>
    <row r="893" spans="1:13" x14ac:dyDescent="0.25">
      <c r="D893" s="29"/>
      <c r="E893" s="100" t="s">
        <v>112</v>
      </c>
      <c r="F893" s="23">
        <v>0.25</v>
      </c>
      <c r="G893" s="199" t="s">
        <v>54</v>
      </c>
      <c r="H893" s="47" t="s">
        <v>64</v>
      </c>
      <c r="I893" s="39"/>
      <c r="J893" s="82" t="str">
        <f>IFERROR(VLOOKUP(I893,'[1]ABC Master Lists'!$B$2:$I$346,4,FALSE)," ")</f>
        <v xml:space="preserve"> </v>
      </c>
      <c r="K893" s="82" t="str">
        <f>IFERROR(VLOOKUP(I893,'[1]ABC Master Lists'!$B$2:$I$346,8,FALSE)," ")</f>
        <v xml:space="preserve"> </v>
      </c>
      <c r="L893" s="121" t="str">
        <f>IFERROR(VLOOKUP(J893,'[1]ABC Master Lists'!$AQ$2:$AS$12,3,FALSE)," ")</f>
        <v xml:space="preserve"> </v>
      </c>
      <c r="M893" s="121" t="str">
        <f>IFERROR(VLOOKUP(K893,'[1]ABC Master Lists'!$AD$2:$AE$22,2,FALSE), " ")</f>
        <v xml:space="preserve"> </v>
      </c>
    </row>
    <row r="894" spans="1:13" x14ac:dyDescent="0.25">
      <c r="D894" s="26">
        <v>5</v>
      </c>
      <c r="E894" s="51" t="s">
        <v>113</v>
      </c>
      <c r="F894" s="4">
        <v>9</v>
      </c>
      <c r="G894" s="76" t="s">
        <v>80</v>
      </c>
      <c r="H894" s="41" t="s">
        <v>65</v>
      </c>
      <c r="I894" s="36">
        <v>21</v>
      </c>
      <c r="J894" s="79">
        <f>IFERROR(VLOOKUP(I894,'[1]ABC Master Lists'!$B$2:$I$346,4,FALSE)," ")</f>
        <v>20</v>
      </c>
      <c r="K894" s="79">
        <f>IFERROR(VLOOKUP(I894,'[1]ABC Master Lists'!$B$2:$I$346,8,FALSE)," ")</f>
        <v>10</v>
      </c>
      <c r="L894" s="118" t="str">
        <f>IFERROR(VLOOKUP(J894,'[1]ABC Master Lists'!$AQ$2:$AS$12,3,FALSE)," ")</f>
        <v>+</v>
      </c>
      <c r="M894" s="118" t="str">
        <f>IFERROR(VLOOKUP(K894,'[1]ABC Master Lists'!$AD$2:$AE$22,2,FALSE), " ")</f>
        <v>+</v>
      </c>
    </row>
    <row r="895" spans="1:13" x14ac:dyDescent="0.25">
      <c r="E895" s="51" t="s">
        <v>112</v>
      </c>
      <c r="F895" s="4">
        <v>0.25</v>
      </c>
      <c r="G895" s="76" t="s">
        <v>54</v>
      </c>
      <c r="H895" s="41" t="s">
        <v>65</v>
      </c>
      <c r="J895" s="79" t="str">
        <f>IFERROR(VLOOKUP(I895,'[1]ABC Master Lists'!$B$2:$I$346,4,FALSE)," ")</f>
        <v xml:space="preserve"> </v>
      </c>
      <c r="K895" s="79" t="str">
        <f>IFERROR(VLOOKUP(I895,'[1]ABC Master Lists'!$B$2:$I$346,8,FALSE)," ")</f>
        <v xml:space="preserve"> </v>
      </c>
      <c r="L895" s="118" t="str">
        <f>IFERROR(VLOOKUP(J895,'[1]ABC Master Lists'!$AQ$2:$AS$12,3,FALSE)," ")</f>
        <v xml:space="preserve"> </v>
      </c>
      <c r="M895" s="118" t="str">
        <f>IFERROR(VLOOKUP(K895,'[1]ABC Master Lists'!$AD$2:$AE$22,2,FALSE), " ")</f>
        <v xml:space="preserve"> </v>
      </c>
    </row>
    <row r="896" spans="1:13" x14ac:dyDescent="0.25">
      <c r="D896" s="28">
        <v>6</v>
      </c>
      <c r="E896" s="197" t="s">
        <v>113</v>
      </c>
      <c r="F896" s="20">
        <v>9</v>
      </c>
      <c r="G896" s="198" t="s">
        <v>80</v>
      </c>
      <c r="H896" s="44" t="s">
        <v>5</v>
      </c>
      <c r="I896" s="38">
        <v>23</v>
      </c>
      <c r="J896" s="83">
        <f>IFERROR(VLOOKUP(I896,'[1]ABC Master Lists'!$B$2:$I$346,4,FALSE)," ")</f>
        <v>20</v>
      </c>
      <c r="K896" s="83">
        <f>IFERROR(VLOOKUP(I896,'[1]ABC Master Lists'!$B$2:$I$346,8,FALSE)," ")</f>
        <v>68</v>
      </c>
      <c r="L896" s="122" t="str">
        <f>IFERROR(VLOOKUP(J896,'[1]ABC Master Lists'!$AQ$2:$AS$12,3,FALSE)," ")</f>
        <v>+</v>
      </c>
      <c r="M896" s="122" t="str">
        <f>IFERROR(VLOOKUP(K896,'[1]ABC Master Lists'!$AD$2:$AE$22,2,FALSE), " ")</f>
        <v>+</v>
      </c>
    </row>
    <row r="897" spans="4:13" x14ac:dyDescent="0.25">
      <c r="E897" s="51" t="s">
        <v>112</v>
      </c>
      <c r="F897" s="4">
        <v>0.25</v>
      </c>
      <c r="G897" s="76" t="s">
        <v>54</v>
      </c>
      <c r="H897" s="41" t="s">
        <v>5</v>
      </c>
      <c r="J897" s="79" t="str">
        <f>IFERROR(VLOOKUP(I897,'[1]ABC Master Lists'!$B$2:$I$346,4,FALSE)," ")</f>
        <v xml:space="preserve"> </v>
      </c>
      <c r="K897" s="79" t="str">
        <f>IFERROR(VLOOKUP(I897,'[1]ABC Master Lists'!$B$2:$I$346,8,FALSE)," ")</f>
        <v xml:space="preserve"> </v>
      </c>
      <c r="L897" s="118" t="str">
        <f>IFERROR(VLOOKUP(J897,'[1]ABC Master Lists'!$AQ$2:$AS$12,3,FALSE)," ")</f>
        <v xml:space="preserve"> </v>
      </c>
      <c r="M897" s="118" t="str">
        <f>IFERROR(VLOOKUP(K897,'[1]ABC Master Lists'!$AD$2:$AE$22,2,FALSE), " ")</f>
        <v xml:space="preserve"> </v>
      </c>
    </row>
    <row r="898" spans="4:13" x14ac:dyDescent="0.25">
      <c r="E898" s="51" t="s">
        <v>113</v>
      </c>
      <c r="F898" s="4">
        <v>9</v>
      </c>
      <c r="G898" s="76" t="s">
        <v>80</v>
      </c>
      <c r="H898" s="41" t="s">
        <v>20</v>
      </c>
      <c r="J898" s="79" t="str">
        <f>IFERROR(VLOOKUP(I898,'[1]ABC Master Lists'!$B$2:$I$346,4,FALSE)," ")</f>
        <v xml:space="preserve"> </v>
      </c>
      <c r="K898" s="79" t="str">
        <f>IFERROR(VLOOKUP(I898,'[1]ABC Master Lists'!$B$2:$I$346,8,FALSE)," ")</f>
        <v xml:space="preserve"> </v>
      </c>
      <c r="L898" s="118" t="str">
        <f>IFERROR(VLOOKUP(J898,'[1]ABC Master Lists'!$AQ$2:$AS$12,3,FALSE)," ")</f>
        <v xml:space="preserve"> </v>
      </c>
      <c r="M898" s="118" t="str">
        <f>IFERROR(VLOOKUP(K898,'[1]ABC Master Lists'!$AD$2:$AE$22,2,FALSE), " ")</f>
        <v xml:space="preserve"> </v>
      </c>
    </row>
    <row r="899" spans="4:13" x14ac:dyDescent="0.25">
      <c r="D899" s="29"/>
      <c r="E899" s="100" t="s">
        <v>112</v>
      </c>
      <c r="F899" s="23">
        <v>0.25</v>
      </c>
      <c r="G899" s="199" t="s">
        <v>54</v>
      </c>
      <c r="H899" s="47" t="s">
        <v>20</v>
      </c>
      <c r="I899" s="39"/>
      <c r="J899" s="82" t="str">
        <f>IFERROR(VLOOKUP(I899,'[1]ABC Master Lists'!$B$2:$I$346,4,FALSE)," ")</f>
        <v xml:space="preserve"> </v>
      </c>
      <c r="K899" s="82" t="str">
        <f>IFERROR(VLOOKUP(I899,'[1]ABC Master Lists'!$B$2:$I$346,8,FALSE)," ")</f>
        <v xml:space="preserve"> </v>
      </c>
      <c r="L899" s="121" t="str">
        <f>IFERROR(VLOOKUP(J899,'[1]ABC Master Lists'!$AQ$2:$AS$12,3,FALSE)," ")</f>
        <v xml:space="preserve"> </v>
      </c>
      <c r="M899" s="121" t="str">
        <f>IFERROR(VLOOKUP(K899,'[1]ABC Master Lists'!$AD$2:$AE$22,2,FALSE), " ")</f>
        <v xml:space="preserve"> </v>
      </c>
    </row>
    <row r="900" spans="4:13" x14ac:dyDescent="0.25">
      <c r="D900" s="26">
        <v>7</v>
      </c>
      <c r="E900" s="51" t="s">
        <v>10</v>
      </c>
      <c r="F900" s="4">
        <v>8</v>
      </c>
      <c r="G900" s="76" t="s">
        <v>46</v>
      </c>
      <c r="H900" s="41" t="s">
        <v>5</v>
      </c>
      <c r="I900" s="36">
        <v>90</v>
      </c>
      <c r="J900" s="79">
        <f>IFERROR(VLOOKUP(I900,'[1]ABC Master Lists'!$B$2:$I$346,4,FALSE)," ")</f>
        <v>4</v>
      </c>
      <c r="K900" s="79">
        <f>IFERROR(VLOOKUP(I900,'[1]ABC Master Lists'!$B$2:$I$346,8,FALSE)," ")</f>
        <v>6</v>
      </c>
      <c r="L900" s="118" t="str">
        <f>IFERROR(VLOOKUP(J900,'[1]ABC Master Lists'!$AQ$2:$AS$12,3,FALSE)," ")</f>
        <v>+</v>
      </c>
      <c r="M900" s="118" t="str">
        <f>IFERROR(VLOOKUP(K900,'[1]ABC Master Lists'!$AD$2:$AE$22,2,FALSE), " ")</f>
        <v>+</v>
      </c>
    </row>
    <row r="901" spans="4:13" x14ac:dyDescent="0.25">
      <c r="E901" s="51" t="s">
        <v>112</v>
      </c>
      <c r="F901" s="4">
        <v>0.25</v>
      </c>
      <c r="G901" s="76" t="s">
        <v>54</v>
      </c>
      <c r="H901" s="41" t="s">
        <v>5</v>
      </c>
      <c r="J901" s="79" t="str">
        <f>IFERROR(VLOOKUP(I901,'[1]ABC Master Lists'!$B$2:$I$346,4,FALSE)," ")</f>
        <v xml:space="preserve"> </v>
      </c>
      <c r="K901" s="79" t="str">
        <f>IFERROR(VLOOKUP(I901,'[1]ABC Master Lists'!$B$2:$I$346,8,FALSE)," ")</f>
        <v xml:space="preserve"> </v>
      </c>
      <c r="L901" s="118" t="str">
        <f>IFERROR(VLOOKUP(J901,'[1]ABC Master Lists'!$AQ$2:$AS$12,3,FALSE)," ")</f>
        <v xml:space="preserve"> </v>
      </c>
      <c r="M901" s="118" t="str">
        <f>IFERROR(VLOOKUP(K901,'[1]ABC Master Lists'!$AD$2:$AE$22,2,FALSE), " ")</f>
        <v xml:space="preserve"> </v>
      </c>
    </row>
    <row r="902" spans="4:13" x14ac:dyDescent="0.25">
      <c r="D902" s="28">
        <v>8</v>
      </c>
      <c r="E902" s="197" t="s">
        <v>10</v>
      </c>
      <c r="F902" s="20">
        <v>8</v>
      </c>
      <c r="G902" s="198" t="s">
        <v>46</v>
      </c>
      <c r="H902" s="44" t="s">
        <v>20</v>
      </c>
      <c r="I902" s="38">
        <v>92</v>
      </c>
      <c r="J902" s="83">
        <f>IFERROR(VLOOKUP(I902,'[1]ABC Master Lists'!$B$2:$I$346,4,FALSE)," ")</f>
        <v>4</v>
      </c>
      <c r="K902" s="83">
        <f>IFERROR(VLOOKUP(I902,'[1]ABC Master Lists'!$B$2:$I$346,8,FALSE)," ")</f>
        <v>8</v>
      </c>
      <c r="L902" s="122" t="str">
        <f>IFERROR(VLOOKUP(J902,'[1]ABC Master Lists'!$AQ$2:$AS$12,3,FALSE)," ")</f>
        <v>+</v>
      </c>
      <c r="M902" s="122" t="str">
        <f>IFERROR(VLOOKUP(K902,'[1]ABC Master Lists'!$AD$2:$AE$22,2,FALSE), " ")</f>
        <v>+</v>
      </c>
    </row>
    <row r="903" spans="4:13" x14ac:dyDescent="0.25">
      <c r="D903" s="29"/>
      <c r="E903" s="100" t="s">
        <v>112</v>
      </c>
      <c r="F903" s="23">
        <v>0.25</v>
      </c>
      <c r="G903" s="199" t="s">
        <v>54</v>
      </c>
      <c r="H903" s="47" t="s">
        <v>20</v>
      </c>
      <c r="I903" s="39"/>
      <c r="J903" s="82" t="str">
        <f>IFERROR(VLOOKUP(I903,'[1]ABC Master Lists'!$B$2:$I$346,4,FALSE)," ")</f>
        <v xml:space="preserve"> </v>
      </c>
      <c r="K903" s="82" t="str">
        <f>IFERROR(VLOOKUP(I903,'[1]ABC Master Lists'!$B$2:$I$346,8,FALSE)," ")</f>
        <v xml:space="preserve"> </v>
      </c>
      <c r="L903" s="121" t="str">
        <f>IFERROR(VLOOKUP(J903,'[1]ABC Master Lists'!$AQ$2:$AS$12,3,FALSE)," ")</f>
        <v xml:space="preserve"> </v>
      </c>
      <c r="M903" s="121" t="str">
        <f>IFERROR(VLOOKUP(K903,'[1]ABC Master Lists'!$AD$2:$AE$22,2,FALSE), " ")</f>
        <v xml:space="preserve"> </v>
      </c>
    </row>
    <row r="904" spans="4:13" x14ac:dyDescent="0.25">
      <c r="D904" s="26">
        <v>9</v>
      </c>
      <c r="E904" s="51" t="s">
        <v>10</v>
      </c>
      <c r="F904" s="4">
        <v>8</v>
      </c>
      <c r="G904" s="76" t="s">
        <v>46</v>
      </c>
      <c r="H904" s="41" t="s">
        <v>64</v>
      </c>
      <c r="I904" s="36">
        <v>93</v>
      </c>
      <c r="J904" s="79">
        <f>IFERROR(VLOOKUP(I904,'[1]ABC Master Lists'!$B$2:$I$346,4,FALSE)," ")</f>
        <v>4</v>
      </c>
      <c r="K904" s="79">
        <f>IFERROR(VLOOKUP(I904,'[1]ABC Master Lists'!$B$2:$I$346,8,FALSE)," ")</f>
        <v>9</v>
      </c>
      <c r="L904" s="118" t="str">
        <f>IFERROR(VLOOKUP(J904,'[1]ABC Master Lists'!$AQ$2:$AS$12,3,FALSE)," ")</f>
        <v>+</v>
      </c>
    </row>
    <row r="905" spans="4:13" x14ac:dyDescent="0.25">
      <c r="E905" s="51" t="s">
        <v>112</v>
      </c>
      <c r="F905" s="4">
        <v>0.25</v>
      </c>
      <c r="G905" s="76" t="s">
        <v>54</v>
      </c>
      <c r="H905" s="41" t="s">
        <v>64</v>
      </c>
      <c r="J905" s="79" t="str">
        <f>IFERROR(VLOOKUP(I905,'[1]ABC Master Lists'!$B$2:$I$346,4,FALSE)," ")</f>
        <v xml:space="preserve"> </v>
      </c>
      <c r="K905" s="79" t="str">
        <f>IFERROR(VLOOKUP(I905,'[1]ABC Master Lists'!$B$2:$I$346,8,FALSE)," ")</f>
        <v xml:space="preserve"> </v>
      </c>
      <c r="L905" s="118" t="str">
        <f>IFERROR(VLOOKUP(J905,'[1]ABC Master Lists'!$AQ$2:$AS$12,3,FALSE)," ")</f>
        <v xml:space="preserve"> </v>
      </c>
      <c r="M905" s="118" t="str">
        <f>IFERROR(VLOOKUP(K905,'[1]ABC Master Lists'!$AD$2:$AE$22,2,FALSE), " ")</f>
        <v xml:space="preserve"> </v>
      </c>
    </row>
    <row r="906" spans="4:13" x14ac:dyDescent="0.25">
      <c r="D906" s="28">
        <v>10</v>
      </c>
      <c r="E906" s="197" t="s">
        <v>10</v>
      </c>
      <c r="F906" s="20">
        <v>8</v>
      </c>
      <c r="G906" s="198" t="s">
        <v>46</v>
      </c>
      <c r="H906" s="44" t="s">
        <v>65</v>
      </c>
      <c r="I906" s="38">
        <v>94</v>
      </c>
      <c r="J906" s="83">
        <f>IFERROR(VLOOKUP(I906,'[1]ABC Master Lists'!$B$2:$I$346,4,FALSE)," ")</f>
        <v>4</v>
      </c>
      <c r="K906" s="83">
        <f>IFERROR(VLOOKUP(I906,'[1]ABC Master Lists'!$B$2:$I$346,8,FALSE)," ")</f>
        <v>10</v>
      </c>
      <c r="L906" s="122" t="str">
        <f>IFERROR(VLOOKUP(J906,'[1]ABC Master Lists'!$AQ$2:$AS$12,3,FALSE)," ")</f>
        <v>+</v>
      </c>
      <c r="M906" s="122" t="str">
        <f>IFERROR(VLOOKUP(K906,'[1]ABC Master Lists'!$AD$2:$AE$22,2,FALSE), " ")</f>
        <v>+</v>
      </c>
    </row>
    <row r="907" spans="4:13" x14ac:dyDescent="0.25">
      <c r="D907" s="29"/>
      <c r="E907" s="100" t="s">
        <v>112</v>
      </c>
      <c r="F907" s="23">
        <v>0.25</v>
      </c>
      <c r="G907" s="199" t="s">
        <v>54</v>
      </c>
      <c r="H907" s="47" t="s">
        <v>65</v>
      </c>
      <c r="I907" s="39"/>
      <c r="J907" s="82" t="str">
        <f>IFERROR(VLOOKUP(I907,'[1]ABC Master Lists'!$B$2:$I$346,4,FALSE)," ")</f>
        <v xml:space="preserve"> </v>
      </c>
      <c r="K907" s="82" t="str">
        <f>IFERROR(VLOOKUP(I907,'[1]ABC Master Lists'!$B$2:$I$346,8,FALSE)," ")</f>
        <v xml:space="preserve"> </v>
      </c>
      <c r="L907" s="121" t="str">
        <f>IFERROR(VLOOKUP(J907,'[1]ABC Master Lists'!$AQ$2:$AS$12,3,FALSE)," ")</f>
        <v xml:space="preserve"> </v>
      </c>
      <c r="M907" s="121" t="str">
        <f>IFERROR(VLOOKUP(K907,'[1]ABC Master Lists'!$AD$2:$AE$22,2,FALSE), " ")</f>
        <v xml:space="preserve"> </v>
      </c>
    </row>
    <row r="908" spans="4:13" x14ac:dyDescent="0.25">
      <c r="D908" s="26">
        <v>11</v>
      </c>
      <c r="E908" s="51" t="s">
        <v>77</v>
      </c>
      <c r="F908" s="4">
        <v>5</v>
      </c>
      <c r="G908" s="76" t="s">
        <v>80</v>
      </c>
      <c r="H908" s="41" t="s">
        <v>5</v>
      </c>
      <c r="I908" s="36">
        <v>158</v>
      </c>
      <c r="J908" s="79">
        <f>IFERROR(VLOOKUP(I908,'[1]ABC Master Lists'!$B$2:$I$346,4,FALSE)," ")</f>
        <v>22</v>
      </c>
      <c r="K908" s="79">
        <f>IFERROR(VLOOKUP(I908,'[1]ABC Master Lists'!$B$2:$I$346,8,FALSE)," ")</f>
        <v>3</v>
      </c>
      <c r="L908" s="118" t="str">
        <f>IFERROR(VLOOKUP(J908,'[1]ABC Master Lists'!$AQ$2:$AS$12,3,FALSE)," ")</f>
        <v>+</v>
      </c>
    </row>
    <row r="909" spans="4:13" x14ac:dyDescent="0.25">
      <c r="E909" s="51" t="s">
        <v>112</v>
      </c>
      <c r="F909" s="4">
        <v>0.25</v>
      </c>
      <c r="G909" s="76" t="s">
        <v>54</v>
      </c>
      <c r="H909" s="41" t="s">
        <v>5</v>
      </c>
      <c r="J909" s="79" t="str">
        <f>IFERROR(VLOOKUP(I909,'[1]ABC Master Lists'!$B$2:$I$346,4,FALSE)," ")</f>
        <v xml:space="preserve"> </v>
      </c>
      <c r="K909" s="79" t="str">
        <f>IFERROR(VLOOKUP(I909,'[1]ABC Master Lists'!$B$2:$I$346,8,FALSE)," ")</f>
        <v xml:space="preserve"> </v>
      </c>
      <c r="L909" s="118" t="str">
        <f>IFERROR(VLOOKUP(J909,'[1]ABC Master Lists'!$AQ$2:$AS$12,3,FALSE)," ")</f>
        <v xml:space="preserve"> </v>
      </c>
      <c r="M909" s="118" t="str">
        <f>IFERROR(VLOOKUP(K909,'[1]ABC Master Lists'!$AD$2:$AE$22,2,FALSE), " ")</f>
        <v xml:space="preserve"> </v>
      </c>
    </row>
    <row r="910" spans="4:13" x14ac:dyDescent="0.25">
      <c r="D910" s="28">
        <v>12</v>
      </c>
      <c r="E910" s="197" t="s">
        <v>77</v>
      </c>
      <c r="F910" s="20">
        <v>5</v>
      </c>
      <c r="G910" s="198" t="s">
        <v>80</v>
      </c>
      <c r="H910" s="44" t="s">
        <v>20</v>
      </c>
      <c r="I910" s="38">
        <v>160</v>
      </c>
      <c r="J910" s="83">
        <f>IFERROR(VLOOKUP(I910,'[1]ABC Master Lists'!$B$2:$I$346,4,FALSE)," ")</f>
        <v>22</v>
      </c>
      <c r="K910" s="83">
        <f>IFERROR(VLOOKUP(I910,'[1]ABC Master Lists'!$B$2:$I$346,8,FALSE)," ")</f>
        <v>8</v>
      </c>
      <c r="L910" s="122" t="str">
        <f>IFERROR(VLOOKUP(J910,'[1]ABC Master Lists'!$AQ$2:$AS$12,3,FALSE)," ")</f>
        <v>+</v>
      </c>
      <c r="M910" s="122" t="str">
        <f>IFERROR(VLOOKUP(K910,'[1]ABC Master Lists'!$AD$2:$AE$22,2,FALSE), " ")</f>
        <v>+</v>
      </c>
    </row>
    <row r="911" spans="4:13" x14ac:dyDescent="0.25">
      <c r="D911" s="29"/>
      <c r="E911" s="100" t="s">
        <v>112</v>
      </c>
      <c r="F911" s="23">
        <v>0.25</v>
      </c>
      <c r="G911" s="199" t="s">
        <v>54</v>
      </c>
      <c r="H911" s="47" t="s">
        <v>20</v>
      </c>
      <c r="I911" s="39"/>
      <c r="J911" s="82" t="str">
        <f>IFERROR(VLOOKUP(I911,'[1]ABC Master Lists'!$B$2:$I$346,4,FALSE)," ")</f>
        <v xml:space="preserve"> </v>
      </c>
      <c r="K911" s="82" t="str">
        <f>IFERROR(VLOOKUP(I911,'[1]ABC Master Lists'!$B$2:$I$346,8,FALSE)," ")</f>
        <v xml:space="preserve"> </v>
      </c>
      <c r="L911" s="121" t="str">
        <f>IFERROR(VLOOKUP(J911,'[1]ABC Master Lists'!$AQ$2:$AS$12,3,FALSE)," ")</f>
        <v xml:space="preserve"> </v>
      </c>
      <c r="M911" s="121" t="str">
        <f>IFERROR(VLOOKUP(K911,'[1]ABC Master Lists'!$AD$2:$AE$22,2,FALSE), " ")</f>
        <v xml:space="preserve"> </v>
      </c>
    </row>
    <row r="912" spans="4:13" x14ac:dyDescent="0.25">
      <c r="D912" s="26">
        <v>13</v>
      </c>
      <c r="E912" s="51" t="s">
        <v>77</v>
      </c>
      <c r="F912" s="4">
        <v>5</v>
      </c>
      <c r="G912" s="76" t="s">
        <v>80</v>
      </c>
      <c r="H912" s="41" t="s">
        <v>64</v>
      </c>
      <c r="I912" s="36">
        <v>161</v>
      </c>
      <c r="J912" s="79">
        <f>IFERROR(VLOOKUP(I912,'[1]ABC Master Lists'!$B$2:$I$346,4,FALSE)," ")</f>
        <v>22</v>
      </c>
      <c r="K912" s="79">
        <f>IFERROR(VLOOKUP(I912,'[1]ABC Master Lists'!$B$2:$I$346,8,FALSE)," ")</f>
        <v>9</v>
      </c>
      <c r="L912" s="118" t="str">
        <f>IFERROR(VLOOKUP(J912,'[1]ABC Master Lists'!$AQ$2:$AS$12,3,FALSE)," ")</f>
        <v>+</v>
      </c>
    </row>
    <row r="913" spans="1:13" x14ac:dyDescent="0.25">
      <c r="E913" s="51" t="s">
        <v>112</v>
      </c>
      <c r="F913" s="4">
        <v>0.25</v>
      </c>
      <c r="G913" s="76" t="s">
        <v>54</v>
      </c>
      <c r="H913" s="41" t="s">
        <v>64</v>
      </c>
      <c r="J913" s="79" t="str">
        <f>IFERROR(VLOOKUP(I913,'[1]ABC Master Lists'!$B$2:$I$346,4,FALSE)," ")</f>
        <v xml:space="preserve"> </v>
      </c>
      <c r="K913" s="79" t="str">
        <f>IFERROR(VLOOKUP(I913,'[1]ABC Master Lists'!$B$2:$I$346,8,FALSE)," ")</f>
        <v xml:space="preserve"> </v>
      </c>
      <c r="L913" s="118" t="str">
        <f>IFERROR(VLOOKUP(J913,'[1]ABC Master Lists'!$AQ$2:$AS$12,3,FALSE)," ")</f>
        <v xml:space="preserve"> </v>
      </c>
      <c r="M913" s="118" t="str">
        <f>IFERROR(VLOOKUP(K913,'[1]ABC Master Lists'!$AD$2:$AE$22,2,FALSE), " ")</f>
        <v xml:space="preserve"> </v>
      </c>
    </row>
    <row r="914" spans="1:13" x14ac:dyDescent="0.25">
      <c r="D914" s="28">
        <v>14</v>
      </c>
      <c r="E914" s="197" t="s">
        <v>77</v>
      </c>
      <c r="F914" s="20">
        <v>5</v>
      </c>
      <c r="G914" s="198" t="s">
        <v>80</v>
      </c>
      <c r="H914" s="44" t="s">
        <v>65</v>
      </c>
      <c r="I914" s="38">
        <v>162</v>
      </c>
      <c r="J914" s="83">
        <f>IFERROR(VLOOKUP(I914,'[1]ABC Master Lists'!$B$2:$I$346,4,FALSE)," ")</f>
        <v>22</v>
      </c>
      <c r="K914" s="83">
        <f>IFERROR(VLOOKUP(I914,'[1]ABC Master Lists'!$B$2:$I$346,8,FALSE)," ")</f>
        <v>10</v>
      </c>
      <c r="L914" s="122" t="str">
        <f>IFERROR(VLOOKUP(J914,'[1]ABC Master Lists'!$AQ$2:$AS$12,3,FALSE)," ")</f>
        <v>+</v>
      </c>
      <c r="M914" s="122" t="str">
        <f>IFERROR(VLOOKUP(K914,'[1]ABC Master Lists'!$AD$2:$AE$22,2,FALSE), " ")</f>
        <v>+</v>
      </c>
    </row>
    <row r="915" spans="1:13" x14ac:dyDescent="0.25">
      <c r="D915" s="29"/>
      <c r="E915" s="100" t="s">
        <v>112</v>
      </c>
      <c r="F915" s="23">
        <v>0.25</v>
      </c>
      <c r="G915" s="199" t="s">
        <v>54</v>
      </c>
      <c r="H915" s="47" t="s">
        <v>65</v>
      </c>
      <c r="I915" s="39"/>
      <c r="J915" s="82" t="str">
        <f>IFERROR(VLOOKUP(I915,'[1]ABC Master Lists'!$B$2:$I$346,4,FALSE)," ")</f>
        <v xml:space="preserve"> </v>
      </c>
      <c r="K915" s="82" t="str">
        <f>IFERROR(VLOOKUP(I915,'[1]ABC Master Lists'!$B$2:$I$346,8,FALSE)," ")</f>
        <v xml:space="preserve"> </v>
      </c>
      <c r="L915" s="121" t="str">
        <f>IFERROR(VLOOKUP(J915,'[1]ABC Master Lists'!$AQ$2:$AS$12,3,FALSE)," ")</f>
        <v xml:space="preserve"> </v>
      </c>
      <c r="M915" s="121" t="str">
        <f>IFERROR(VLOOKUP(K915,'[1]ABC Master Lists'!$AD$2:$AE$22,2,FALSE), " ")</f>
        <v xml:space="preserve"> </v>
      </c>
    </row>
    <row r="916" spans="1:13" x14ac:dyDescent="0.25">
      <c r="D916" s="26">
        <v>15</v>
      </c>
      <c r="E916" s="51" t="s">
        <v>10</v>
      </c>
      <c r="F916" s="4">
        <v>6</v>
      </c>
      <c r="G916" s="76" t="s">
        <v>46</v>
      </c>
      <c r="H916" s="41" t="s">
        <v>34</v>
      </c>
      <c r="I916" s="36">
        <v>86</v>
      </c>
      <c r="J916" s="79">
        <f>IFERROR(VLOOKUP(I916,'[1]ABC Master Lists'!$B$2:$I$346,4,FALSE)," ")</f>
        <v>4</v>
      </c>
      <c r="K916" s="79">
        <f>IFERROR(VLOOKUP(I916,'[1]ABC Master Lists'!$B$2:$I$346,8,FALSE)," ")</f>
        <v>5</v>
      </c>
      <c r="L916" s="118" t="str">
        <f>IFERROR(VLOOKUP(J916,'[1]ABC Master Lists'!$AQ$2:$AS$12,3,FALSE)," ")</f>
        <v>+</v>
      </c>
      <c r="M916" s="118" t="str">
        <f>IFERROR(VLOOKUP(K916,'[1]ABC Master Lists'!$AD$2:$AE$22,2,FALSE), " ")</f>
        <v>+</v>
      </c>
    </row>
    <row r="917" spans="1:13" x14ac:dyDescent="0.25">
      <c r="E917" s="51" t="s">
        <v>112</v>
      </c>
      <c r="F917" s="4">
        <v>0.25</v>
      </c>
      <c r="G917" s="76" t="s">
        <v>54</v>
      </c>
      <c r="H917" s="41" t="s">
        <v>34</v>
      </c>
      <c r="J917" s="79" t="str">
        <f>IFERROR(VLOOKUP(I917,'[1]ABC Master Lists'!$B$2:$I$346,4,FALSE)," ")</f>
        <v xml:space="preserve"> </v>
      </c>
      <c r="K917" s="79" t="str">
        <f>IFERROR(VLOOKUP(I917,'[1]ABC Master Lists'!$B$2:$I$346,8,FALSE)," ")</f>
        <v xml:space="preserve"> </v>
      </c>
      <c r="L917" s="118" t="str">
        <f>IFERROR(VLOOKUP(J917,'[1]ABC Master Lists'!$AQ$2:$AS$12,3,FALSE)," ")</f>
        <v xml:space="preserve"> </v>
      </c>
      <c r="M917" s="118" t="str">
        <f>IFERROR(VLOOKUP(K917,'[1]ABC Master Lists'!$AD$2:$AE$22,2,FALSE), " ")</f>
        <v xml:space="preserve"> </v>
      </c>
    </row>
    <row r="918" spans="1:13" x14ac:dyDescent="0.25">
      <c r="D918" s="28">
        <v>16</v>
      </c>
      <c r="E918" s="197" t="s">
        <v>113</v>
      </c>
      <c r="F918" s="20">
        <v>9</v>
      </c>
      <c r="G918" s="198" t="s">
        <v>80</v>
      </c>
      <c r="H918" s="44" t="s">
        <v>34</v>
      </c>
      <c r="I918" s="38">
        <v>16</v>
      </c>
      <c r="J918" s="83">
        <f>IFERROR(VLOOKUP(I918,'[1]ABC Master Lists'!$B$2:$I$346,4,FALSE)," ")</f>
        <v>20</v>
      </c>
      <c r="K918" s="83">
        <f>IFERROR(VLOOKUP(I918,'[1]ABC Master Lists'!$B$2:$I$346,8,FALSE)," ")</f>
        <v>5</v>
      </c>
      <c r="L918" s="122" t="str">
        <f>IFERROR(VLOOKUP(J918,'[1]ABC Master Lists'!$AQ$2:$AS$12,3,FALSE)," ")</f>
        <v>+</v>
      </c>
      <c r="M918" s="122" t="str">
        <f>IFERROR(VLOOKUP(K918,'[1]ABC Master Lists'!$AD$2:$AE$22,2,FALSE), " ")</f>
        <v>+</v>
      </c>
    </row>
    <row r="919" spans="1:13" x14ac:dyDescent="0.25">
      <c r="A919" s="25"/>
      <c r="B919" s="25"/>
      <c r="C919" s="25"/>
      <c r="D919" s="29"/>
      <c r="E919" s="100" t="s">
        <v>112</v>
      </c>
      <c r="F919" s="23">
        <v>0.25</v>
      </c>
      <c r="G919" s="199" t="s">
        <v>54</v>
      </c>
      <c r="H919" s="47" t="s">
        <v>34</v>
      </c>
      <c r="I919" s="39"/>
      <c r="J919" s="82" t="str">
        <f>IFERROR(VLOOKUP(I919,'[1]ABC Master Lists'!$B$2:$I$346,4,FALSE)," ")</f>
        <v xml:space="preserve"> </v>
      </c>
      <c r="K919" s="82" t="str">
        <f>IFERROR(VLOOKUP(I919,'[1]ABC Master Lists'!$B$2:$I$346,8,FALSE)," ")</f>
        <v xml:space="preserve"> </v>
      </c>
      <c r="L919" s="121" t="str">
        <f>IFERROR(VLOOKUP(J919,'[1]ABC Master Lists'!$AQ$2:$AS$12,3,FALSE)," ")</f>
        <v xml:space="preserve"> </v>
      </c>
      <c r="M919" s="121" t="str">
        <f>IFERROR(VLOOKUP(K919,'[1]ABC Master Lists'!$AD$2:$AE$22,2,FALSE), " ")</f>
        <v xml:space="preserve"> </v>
      </c>
    </row>
    <row r="920" spans="1:13" x14ac:dyDescent="0.25">
      <c r="A920" s="24">
        <v>2016</v>
      </c>
      <c r="B920" s="24" t="s">
        <v>168</v>
      </c>
      <c r="C920" s="24">
        <v>16227</v>
      </c>
      <c r="D920" s="26">
        <v>1</v>
      </c>
      <c r="E920" s="51" t="s">
        <v>110</v>
      </c>
      <c r="F920" s="4" t="s">
        <v>2</v>
      </c>
      <c r="G920" s="71" t="s">
        <v>2</v>
      </c>
      <c r="H920" s="36" t="s">
        <v>2</v>
      </c>
      <c r="I920" s="36">
        <v>1</v>
      </c>
      <c r="J920" s="79" t="str">
        <f>IFERROR(VLOOKUP(I920,'[1]ABC Master Lists'!$B$2:$I$346,4,FALSE)," ")</f>
        <v>.</v>
      </c>
      <c r="K920" s="79" t="str">
        <f>IFERROR(VLOOKUP(I920,'[1]ABC Master Lists'!$B$2:$I$346,8,FALSE)," ")</f>
        <v>.</v>
      </c>
      <c r="L920" s="118" t="str">
        <f>IFERROR(VLOOKUP(J920,'[1]ABC Master Lists'!$AQ$2:$AS$12,3,FALSE)," ")</f>
        <v>+</v>
      </c>
      <c r="M920" s="118" t="str">
        <f>IFERROR(VLOOKUP(K920,'[1]ABC Master Lists'!$AD$2:$AE$22,2,FALSE), " ")</f>
        <v>+</v>
      </c>
    </row>
    <row r="921" spans="1:13" x14ac:dyDescent="0.25">
      <c r="D921" s="27">
        <v>2</v>
      </c>
      <c r="E921" s="200" t="s">
        <v>18</v>
      </c>
      <c r="F921" s="17">
        <v>6</v>
      </c>
      <c r="G921" s="201" t="s">
        <v>80</v>
      </c>
      <c r="H921" s="86" t="s">
        <v>5</v>
      </c>
      <c r="I921" s="37">
        <v>52</v>
      </c>
      <c r="J921" s="81">
        <f>IFERROR(VLOOKUP(I921,'[1]ABC Master Lists'!$B$2:$I$346,4,FALSE)," ")</f>
        <v>18</v>
      </c>
      <c r="K921" s="81">
        <f>IFERROR(VLOOKUP(I921,'[1]ABC Master Lists'!$B$2:$I$346,8,FALSE)," ")</f>
        <v>6</v>
      </c>
      <c r="L921" s="120" t="str">
        <f>IFERROR(VLOOKUP(J921,'[1]ABC Master Lists'!$AQ$2:$AS$12,3,FALSE)," ")</f>
        <v>+</v>
      </c>
      <c r="M921" s="120" t="str">
        <f>IFERROR(VLOOKUP(K921,'[1]ABC Master Lists'!$AD$2:$AE$22,2,FALSE), " ")</f>
        <v>+</v>
      </c>
    </row>
    <row r="922" spans="1:13" x14ac:dyDescent="0.25">
      <c r="D922" s="26">
        <v>3</v>
      </c>
      <c r="E922" s="51" t="s">
        <v>6</v>
      </c>
      <c r="F922" s="4">
        <v>9</v>
      </c>
      <c r="G922" s="76" t="s">
        <v>80</v>
      </c>
      <c r="H922" s="41" t="s">
        <v>5</v>
      </c>
      <c r="I922" s="36">
        <v>17</v>
      </c>
      <c r="J922" s="79">
        <f>IFERROR(VLOOKUP(I922,'[1]ABC Master Lists'!$B$2:$I$346,4,FALSE)," ")</f>
        <v>20</v>
      </c>
      <c r="K922" s="79">
        <f>IFERROR(VLOOKUP(I922,'[1]ABC Master Lists'!$B$2:$I$346,8,FALSE)," ")</f>
        <v>6</v>
      </c>
      <c r="L922" s="118" t="str">
        <f>IFERROR(VLOOKUP(J922,'[1]ABC Master Lists'!$AQ$2:$AS$12,3,FALSE)," ")</f>
        <v>+</v>
      </c>
      <c r="M922" s="118" t="str">
        <f>IFERROR(VLOOKUP(K922,'[1]ABC Master Lists'!$AD$2:$AE$22,2,FALSE), " ")</f>
        <v>+</v>
      </c>
    </row>
    <row r="923" spans="1:13" x14ac:dyDescent="0.25">
      <c r="D923" s="27">
        <v>4</v>
      </c>
      <c r="E923" s="200" t="s">
        <v>18</v>
      </c>
      <c r="F923" s="17">
        <v>3</v>
      </c>
      <c r="G923" s="201" t="s">
        <v>80</v>
      </c>
      <c r="H923" s="86" t="s">
        <v>5</v>
      </c>
      <c r="I923" s="37">
        <v>48</v>
      </c>
      <c r="J923" s="81">
        <f>IFERROR(VLOOKUP(I923,'[1]ABC Master Lists'!$B$2:$I$346,4,FALSE)," ")</f>
        <v>18</v>
      </c>
      <c r="K923" s="81">
        <f>IFERROR(VLOOKUP(I923,'[1]ABC Master Lists'!$B$2:$I$346,8,FALSE)," ")</f>
        <v>6</v>
      </c>
      <c r="L923" s="120" t="str">
        <f>IFERROR(VLOOKUP(J923,'[1]ABC Master Lists'!$AQ$2:$AS$12,3,FALSE)," ")</f>
        <v>+</v>
      </c>
      <c r="M923" s="120" t="str">
        <f>IFERROR(VLOOKUP(K923,'[1]ABC Master Lists'!$AD$2:$AE$22,2,FALSE), " ")</f>
        <v>+</v>
      </c>
    </row>
    <row r="924" spans="1:13" x14ac:dyDescent="0.25">
      <c r="D924" s="26">
        <v>5</v>
      </c>
      <c r="E924" s="51" t="s">
        <v>6</v>
      </c>
      <c r="F924" s="4">
        <v>9</v>
      </c>
      <c r="G924" s="76" t="s">
        <v>80</v>
      </c>
      <c r="H924" s="41" t="s">
        <v>5</v>
      </c>
      <c r="I924" s="36">
        <v>59</v>
      </c>
      <c r="J924" s="79">
        <f>IFERROR(VLOOKUP(I924,'[1]ABC Master Lists'!$B$2:$I$346,4,FALSE)," ")</f>
        <v>1820</v>
      </c>
      <c r="K924" s="79">
        <f>IFERROR(VLOOKUP(I924,'[1]ABC Master Lists'!$B$2:$I$346,8,FALSE)," ")</f>
        <v>6</v>
      </c>
      <c r="L924" s="118" t="str">
        <f>IFERROR(VLOOKUP(J924,'[1]ABC Master Lists'!$AQ$2:$AS$12,3,FALSE)," ")</f>
        <v xml:space="preserve"> </v>
      </c>
      <c r="M924" s="118" t="str">
        <f>IFERROR(VLOOKUP(K924,'[1]ABC Master Lists'!$AD$2:$AE$22,2,FALSE), " ")</f>
        <v>+</v>
      </c>
    </row>
    <row r="925" spans="1:13" x14ac:dyDescent="0.25">
      <c r="E925" s="51" t="s">
        <v>18</v>
      </c>
      <c r="F925" s="4">
        <v>3</v>
      </c>
      <c r="G925" s="76" t="s">
        <v>80</v>
      </c>
      <c r="H925" s="41" t="s">
        <v>5</v>
      </c>
      <c r="J925" s="79" t="str">
        <f>IFERROR(VLOOKUP(I925,'[1]ABC Master Lists'!$B$2:$I$346,4,FALSE)," ")</f>
        <v xml:space="preserve"> </v>
      </c>
      <c r="K925" s="79" t="str">
        <f>IFERROR(VLOOKUP(I925,'[1]ABC Master Lists'!$B$2:$I$346,8,FALSE)," ")</f>
        <v xml:space="preserve"> </v>
      </c>
      <c r="L925" s="118" t="str">
        <f>IFERROR(VLOOKUP(J925,'[1]ABC Master Lists'!$AQ$2:$AS$12,3,FALSE)," ")</f>
        <v xml:space="preserve"> </v>
      </c>
      <c r="M925" s="118" t="str">
        <f>IFERROR(VLOOKUP(K925,'[1]ABC Master Lists'!$AD$2:$AE$22,2,FALSE), " ")</f>
        <v xml:space="preserve"> </v>
      </c>
    </row>
    <row r="926" spans="1:13" x14ac:dyDescent="0.25">
      <c r="D926" s="28">
        <v>6</v>
      </c>
      <c r="E926" s="197" t="s">
        <v>18</v>
      </c>
      <c r="F926" s="20">
        <v>3</v>
      </c>
      <c r="G926" s="198" t="s">
        <v>80</v>
      </c>
      <c r="H926" s="44" t="s">
        <v>5</v>
      </c>
      <c r="I926" s="38">
        <v>60</v>
      </c>
      <c r="J926" s="83">
        <f>IFERROR(VLOOKUP(I926,'[1]ABC Master Lists'!$B$2:$I$346,4,FALSE)," ")</f>
        <v>1820</v>
      </c>
      <c r="K926" s="83" t="str">
        <f>IFERROR(VLOOKUP(I926,'[1]ABC Master Lists'!$B$2:$I$346,8,FALSE)," ")</f>
        <v>610d</v>
      </c>
      <c r="L926" s="122" t="str">
        <f>IFERROR(VLOOKUP(J926,'[1]ABC Master Lists'!$AQ$2:$AS$12,3,FALSE)," ")</f>
        <v xml:space="preserve"> </v>
      </c>
      <c r="M926" s="122"/>
    </row>
    <row r="927" spans="1:13" x14ac:dyDescent="0.25">
      <c r="D927" s="29"/>
      <c r="E927" s="100" t="s">
        <v>6</v>
      </c>
      <c r="F927" s="23">
        <v>9</v>
      </c>
      <c r="G927" s="199" t="s">
        <v>80</v>
      </c>
      <c r="H927" s="47" t="s">
        <v>265</v>
      </c>
      <c r="I927" s="39"/>
      <c r="J927" s="82" t="str">
        <f>IFERROR(VLOOKUP(I927,'[1]ABC Master Lists'!$B$2:$I$346,4,FALSE)," ")</f>
        <v xml:space="preserve"> </v>
      </c>
      <c r="K927" s="82" t="str">
        <f>IFERROR(VLOOKUP(I927,'[1]ABC Master Lists'!$B$2:$I$346,8,FALSE)," ")</f>
        <v xml:space="preserve"> </v>
      </c>
      <c r="L927" s="121" t="str">
        <f>IFERROR(VLOOKUP(J927,'[1]ABC Master Lists'!$AQ$2:$AS$12,3,FALSE)," ")</f>
        <v xml:space="preserve"> </v>
      </c>
      <c r="M927" s="121" t="str">
        <f>IFERROR(VLOOKUP(K927,'[1]ABC Master Lists'!$AD$2:$AE$22,2,FALSE), " ")</f>
        <v xml:space="preserve"> </v>
      </c>
    </row>
    <row r="928" spans="1:13" x14ac:dyDescent="0.25">
      <c r="D928" s="26">
        <v>7</v>
      </c>
      <c r="E928" s="51" t="s">
        <v>78</v>
      </c>
      <c r="F928" s="4">
        <v>0.9</v>
      </c>
      <c r="G928" s="76" t="s">
        <v>61</v>
      </c>
      <c r="H928" s="41" t="s">
        <v>5</v>
      </c>
      <c r="I928" s="36">
        <v>232</v>
      </c>
      <c r="J928" s="79">
        <f>IFERROR(VLOOKUP(I928,'[1]ABC Master Lists'!$B$2:$I$346,4,FALSE)," ")</f>
        <v>13</v>
      </c>
      <c r="K928" s="79">
        <f>IFERROR(VLOOKUP(I928,'[1]ABC Master Lists'!$B$2:$I$346,8,FALSE)," ")</f>
        <v>6</v>
      </c>
      <c r="L928" s="118" t="str">
        <f>IFERROR(VLOOKUP(J928,'[1]ABC Master Lists'!$AQ$2:$AS$12,3,FALSE)," ")</f>
        <v xml:space="preserve"> </v>
      </c>
      <c r="M928" s="118" t="str">
        <f>IFERROR(VLOOKUP(K928,'[1]ABC Master Lists'!$AD$2:$AE$22,2,FALSE), " ")</f>
        <v>+</v>
      </c>
    </row>
    <row r="929" spans="1:13" x14ac:dyDescent="0.25">
      <c r="D929" s="27">
        <v>8</v>
      </c>
      <c r="E929" s="200" t="s">
        <v>78</v>
      </c>
      <c r="F929" s="17">
        <v>0.45</v>
      </c>
      <c r="G929" s="201" t="s">
        <v>80</v>
      </c>
      <c r="H929" s="86" t="s">
        <v>5</v>
      </c>
      <c r="I929" s="37">
        <v>40</v>
      </c>
      <c r="J929" s="81">
        <f>IFERROR(VLOOKUP(I929,'[1]ABC Master Lists'!$B$2:$I$346,4,FALSE)," ")</f>
        <v>13</v>
      </c>
      <c r="K929" s="81">
        <f>IFERROR(VLOOKUP(I929,'[1]ABC Master Lists'!$B$2:$I$346,8,FALSE)," ")</f>
        <v>6</v>
      </c>
      <c r="L929" s="120" t="str">
        <f>IFERROR(VLOOKUP(J929,'[1]ABC Master Lists'!$AQ$2:$AS$12,3,FALSE)," ")</f>
        <v xml:space="preserve"> </v>
      </c>
      <c r="M929" s="120" t="str">
        <f>IFERROR(VLOOKUP(K929,'[1]ABC Master Lists'!$AD$2:$AE$22,2,FALSE), " ")</f>
        <v>+</v>
      </c>
    </row>
    <row r="930" spans="1:13" x14ac:dyDescent="0.25">
      <c r="A930" s="31">
        <v>2016</v>
      </c>
      <c r="B930" s="31" t="s">
        <v>168</v>
      </c>
      <c r="C930" s="31">
        <v>16229</v>
      </c>
      <c r="D930" s="26">
        <v>1</v>
      </c>
      <c r="E930" s="51" t="s">
        <v>110</v>
      </c>
      <c r="F930" s="4" t="s">
        <v>2</v>
      </c>
      <c r="G930" s="71" t="s">
        <v>2</v>
      </c>
      <c r="H930" s="36" t="s">
        <v>2</v>
      </c>
      <c r="I930" s="36">
        <v>1</v>
      </c>
      <c r="J930" s="79" t="str">
        <f>IFERROR(VLOOKUP(I930,'[1]ABC Master Lists'!$B$2:$I$346,4,FALSE)," ")</f>
        <v>.</v>
      </c>
      <c r="K930" s="79" t="str">
        <f>IFERROR(VLOOKUP(I930,'[1]ABC Master Lists'!$B$2:$I$346,8,FALSE)," ")</f>
        <v>.</v>
      </c>
      <c r="L930" s="118" t="str">
        <f>IFERROR(VLOOKUP(J930,'[1]ABC Master Lists'!$AQ$2:$AS$12,3,FALSE)," ")</f>
        <v>+</v>
      </c>
      <c r="M930" s="118" t="str">
        <f>IFERROR(VLOOKUP(K930,'[1]ABC Master Lists'!$AD$2:$AE$22,2,FALSE), " ")</f>
        <v>+</v>
      </c>
    </row>
    <row r="931" spans="1:13" x14ac:dyDescent="0.25">
      <c r="D931" s="27">
        <v>2</v>
      </c>
      <c r="E931" s="200" t="s">
        <v>15</v>
      </c>
      <c r="F931" s="17">
        <v>5</v>
      </c>
      <c r="G931" s="201" t="s">
        <v>46</v>
      </c>
      <c r="H931" s="86" t="s">
        <v>5</v>
      </c>
      <c r="I931" s="37">
        <v>74</v>
      </c>
      <c r="J931" s="81">
        <f>IFERROR(VLOOKUP(I931,'[1]ABC Master Lists'!$B$2:$I$346,4,FALSE)," ")</f>
        <v>26</v>
      </c>
      <c r="K931" s="81">
        <f>IFERROR(VLOOKUP(I931,'[1]ABC Master Lists'!$B$2:$I$346,8,FALSE)," ")</f>
        <v>6</v>
      </c>
      <c r="L931" s="120" t="str">
        <f>IFERROR(VLOOKUP(J931,'[1]ABC Master Lists'!$AQ$2:$AS$12,3,FALSE)," ")</f>
        <v>+</v>
      </c>
      <c r="M931" s="120" t="str">
        <f>IFERROR(VLOOKUP(K931,'[1]ABC Master Lists'!$AD$2:$AE$22,2,FALSE), " ")</f>
        <v>+</v>
      </c>
    </row>
    <row r="932" spans="1:13" x14ac:dyDescent="0.25">
      <c r="D932" s="26">
        <v>3</v>
      </c>
      <c r="E932" s="51" t="s">
        <v>15</v>
      </c>
      <c r="F932" s="4">
        <v>5</v>
      </c>
      <c r="G932" s="76" t="s">
        <v>46</v>
      </c>
      <c r="H932" s="41" t="s">
        <v>20</v>
      </c>
      <c r="I932" s="36">
        <v>76</v>
      </c>
      <c r="J932" s="79">
        <f>IFERROR(VLOOKUP(I932,'[1]ABC Master Lists'!$B$2:$I$346,4,FALSE)," ")</f>
        <v>26</v>
      </c>
      <c r="K932" s="79">
        <f>IFERROR(VLOOKUP(I932,'[1]ABC Master Lists'!$B$2:$I$346,8,FALSE)," ")</f>
        <v>8</v>
      </c>
      <c r="L932" s="118" t="str">
        <f>IFERROR(VLOOKUP(J932,'[1]ABC Master Lists'!$AQ$2:$AS$12,3,FALSE)," ")</f>
        <v>+</v>
      </c>
      <c r="M932" s="118" t="str">
        <f>IFERROR(VLOOKUP(K932,'[1]ABC Master Lists'!$AD$2:$AE$22,2,FALSE), " ")</f>
        <v>+</v>
      </c>
    </row>
    <row r="933" spans="1:13" x14ac:dyDescent="0.25">
      <c r="D933" s="28">
        <v>4</v>
      </c>
      <c r="E933" s="197" t="s">
        <v>128</v>
      </c>
      <c r="F933" s="20">
        <v>0.5</v>
      </c>
      <c r="G933" s="198" t="s">
        <v>46</v>
      </c>
      <c r="H933" s="44" t="s">
        <v>5</v>
      </c>
      <c r="I933" s="38">
        <v>228</v>
      </c>
      <c r="J933" s="83">
        <f>IFERROR(VLOOKUP(I933,'[1]ABC Master Lists'!$B$2:$I$346,4,FALSE)," ")</f>
        <v>2326</v>
      </c>
      <c r="K933" s="83">
        <f>IFERROR(VLOOKUP(I933,'[1]ABC Master Lists'!$B$2:$I$346,8,FALSE)," ")</f>
        <v>68</v>
      </c>
      <c r="L933" s="122" t="str">
        <f>IFERROR(VLOOKUP(J933,'[1]ABC Master Lists'!$AQ$2:$AS$12,3,FALSE)," ")</f>
        <v xml:space="preserve"> </v>
      </c>
      <c r="M933" s="122" t="str">
        <f>IFERROR(VLOOKUP(K933,'[1]ABC Master Lists'!$AD$2:$AE$22,2,FALSE), " ")</f>
        <v>+</v>
      </c>
    </row>
    <row r="934" spans="1:13" x14ac:dyDescent="0.25">
      <c r="D934" s="29"/>
      <c r="E934" s="100" t="s">
        <v>15</v>
      </c>
      <c r="F934" s="23">
        <v>5</v>
      </c>
      <c r="G934" s="199" t="s">
        <v>46</v>
      </c>
      <c r="H934" s="47" t="s">
        <v>20</v>
      </c>
      <c r="I934" s="39"/>
      <c r="J934" s="82" t="str">
        <f>IFERROR(VLOOKUP(I934,'[1]ABC Master Lists'!$B$2:$I$346,4,FALSE)," ")</f>
        <v xml:space="preserve"> </v>
      </c>
      <c r="K934" s="82" t="str">
        <f>IFERROR(VLOOKUP(I934,'[1]ABC Master Lists'!$B$2:$I$346,8,FALSE)," ")</f>
        <v xml:space="preserve"> </v>
      </c>
      <c r="L934" s="121" t="str">
        <f>IFERROR(VLOOKUP(J934,'[1]ABC Master Lists'!$AQ$2:$AS$12,3,FALSE)," ")</f>
        <v xml:space="preserve"> </v>
      </c>
      <c r="M934" s="121" t="str">
        <f>IFERROR(VLOOKUP(K934,'[1]ABC Master Lists'!$AD$2:$AE$22,2,FALSE), " ")</f>
        <v xml:space="preserve"> </v>
      </c>
    </row>
    <row r="935" spans="1:13" x14ac:dyDescent="0.25">
      <c r="D935" s="26">
        <v>5</v>
      </c>
      <c r="E935" s="51" t="s">
        <v>15</v>
      </c>
      <c r="F935" s="4">
        <v>4</v>
      </c>
      <c r="G935" s="76" t="s">
        <v>46</v>
      </c>
      <c r="H935" s="41" t="s">
        <v>5</v>
      </c>
      <c r="I935" s="36">
        <v>82</v>
      </c>
      <c r="J935" s="79">
        <f>IFERROR(VLOOKUP(I935,'[1]ABC Master Lists'!$B$2:$I$346,4,FALSE)," ")</f>
        <v>2826</v>
      </c>
      <c r="K935" s="79">
        <f>IFERROR(VLOOKUP(I935,'[1]ABC Master Lists'!$B$2:$I$346,8,FALSE)," ")</f>
        <v>6</v>
      </c>
      <c r="L935" s="118" t="str">
        <f>IFERROR(VLOOKUP(J935,'[1]ABC Master Lists'!$AQ$2:$AS$12,3,FALSE)," ")</f>
        <v xml:space="preserve"> </v>
      </c>
      <c r="M935" s="118" t="str">
        <f>IFERROR(VLOOKUP(K935,'[1]ABC Master Lists'!$AD$2:$AE$22,2,FALSE), " ")</f>
        <v>+</v>
      </c>
    </row>
    <row r="936" spans="1:13" x14ac:dyDescent="0.25">
      <c r="E936" s="51" t="s">
        <v>145</v>
      </c>
      <c r="F936" s="4">
        <v>0.75</v>
      </c>
      <c r="G936" s="76" t="s">
        <v>142</v>
      </c>
      <c r="H936" s="41" t="s">
        <v>5</v>
      </c>
      <c r="J936" s="79" t="str">
        <f>IFERROR(VLOOKUP(I936,'[1]ABC Master Lists'!$B$2:$I$346,4,FALSE)," ")</f>
        <v xml:space="preserve"> </v>
      </c>
      <c r="K936" s="79" t="str">
        <f>IFERROR(VLOOKUP(I936,'[1]ABC Master Lists'!$B$2:$I$346,8,FALSE)," ")</f>
        <v xml:space="preserve"> </v>
      </c>
      <c r="L936" s="118" t="str">
        <f>IFERROR(VLOOKUP(J936,'[1]ABC Master Lists'!$AQ$2:$AS$12,3,FALSE)," ")</f>
        <v xml:space="preserve"> </v>
      </c>
      <c r="M936" s="118" t="str">
        <f>IFERROR(VLOOKUP(K936,'[1]ABC Master Lists'!$AD$2:$AE$22,2,FALSE), " ")</f>
        <v xml:space="preserve"> </v>
      </c>
    </row>
    <row r="937" spans="1:13" x14ac:dyDescent="0.25">
      <c r="D937" s="28">
        <v>6</v>
      </c>
      <c r="E937" s="197" t="s">
        <v>15</v>
      </c>
      <c r="F937" s="20">
        <v>4</v>
      </c>
      <c r="G937" s="198" t="s">
        <v>46</v>
      </c>
      <c r="H937" s="44" t="s">
        <v>20</v>
      </c>
      <c r="I937" s="38">
        <v>83</v>
      </c>
      <c r="J937" s="83">
        <f>IFERROR(VLOOKUP(I937,'[1]ABC Master Lists'!$B$2:$I$346,4,FALSE)," ")</f>
        <v>2826</v>
      </c>
      <c r="K937" s="83">
        <f>IFERROR(VLOOKUP(I937,'[1]ABC Master Lists'!$B$2:$I$346,8,FALSE)," ")</f>
        <v>8</v>
      </c>
      <c r="L937" s="122" t="str">
        <f>IFERROR(VLOOKUP(J937,'[1]ABC Master Lists'!$AQ$2:$AS$12,3,FALSE)," ")</f>
        <v xml:space="preserve"> </v>
      </c>
      <c r="M937" s="122" t="str">
        <f>IFERROR(VLOOKUP(K937,'[1]ABC Master Lists'!$AD$2:$AE$22,2,FALSE), " ")</f>
        <v>+</v>
      </c>
    </row>
    <row r="938" spans="1:13" x14ac:dyDescent="0.25">
      <c r="D938" s="29"/>
      <c r="E938" s="100" t="s">
        <v>145</v>
      </c>
      <c r="F938" s="23">
        <v>0.75</v>
      </c>
      <c r="G938" s="199" t="s">
        <v>142</v>
      </c>
      <c r="H938" s="47" t="s">
        <v>20</v>
      </c>
      <c r="I938" s="39"/>
      <c r="J938" s="82" t="str">
        <f>IFERROR(VLOOKUP(I938,'[1]ABC Master Lists'!$B$2:$I$346,4,FALSE)," ")</f>
        <v xml:space="preserve"> </v>
      </c>
      <c r="K938" s="82" t="str">
        <f>IFERROR(VLOOKUP(I938,'[1]ABC Master Lists'!$B$2:$I$346,8,FALSE)," ")</f>
        <v xml:space="preserve"> </v>
      </c>
      <c r="L938" s="121" t="str">
        <f>IFERROR(VLOOKUP(J938,'[1]ABC Master Lists'!$AQ$2:$AS$12,3,FALSE)," ")</f>
        <v xml:space="preserve"> </v>
      </c>
      <c r="M938" s="121" t="str">
        <f>IFERROR(VLOOKUP(K938,'[1]ABC Master Lists'!$AD$2:$AE$22,2,FALSE), " ")</f>
        <v xml:space="preserve"> </v>
      </c>
    </row>
    <row r="939" spans="1:13" x14ac:dyDescent="0.25">
      <c r="D939" s="26">
        <v>7</v>
      </c>
      <c r="E939" s="51" t="s">
        <v>145</v>
      </c>
      <c r="F939" s="4">
        <v>1</v>
      </c>
      <c r="G939" s="76" t="s">
        <v>142</v>
      </c>
      <c r="H939" s="41" t="s">
        <v>5</v>
      </c>
      <c r="I939" s="36">
        <v>222</v>
      </c>
      <c r="J939" s="79">
        <f>IFERROR(VLOOKUP(I939,'[1]ABC Master Lists'!$B$2:$I$346,4,FALSE)," ")</f>
        <v>28</v>
      </c>
      <c r="K939" s="79">
        <f>IFERROR(VLOOKUP(I939,'[1]ABC Master Lists'!$B$2:$I$346,8,FALSE)," ")</f>
        <v>6</v>
      </c>
      <c r="L939" s="118" t="str">
        <f>IFERROR(VLOOKUP(J939,'[1]ABC Master Lists'!$AQ$2:$AS$12,3,FALSE)," ")</f>
        <v>+</v>
      </c>
      <c r="M939" s="118" t="str">
        <f>IFERROR(VLOOKUP(K939,'[1]ABC Master Lists'!$AD$2:$AE$22,2,FALSE), " ")</f>
        <v>+</v>
      </c>
    </row>
    <row r="940" spans="1:13" x14ac:dyDescent="0.25">
      <c r="D940" s="27">
        <v>8</v>
      </c>
      <c r="E940" s="200" t="s">
        <v>145</v>
      </c>
      <c r="F940" s="17">
        <v>1</v>
      </c>
      <c r="G940" s="201" t="s">
        <v>142</v>
      </c>
      <c r="H940" s="86" t="s">
        <v>20</v>
      </c>
      <c r="I940" s="37">
        <v>223</v>
      </c>
      <c r="J940" s="81">
        <f>IFERROR(VLOOKUP(I940,'[1]ABC Master Lists'!$B$2:$I$346,4,FALSE)," ")</f>
        <v>28</v>
      </c>
      <c r="K940" s="81">
        <f>IFERROR(VLOOKUP(I940,'[1]ABC Master Lists'!$B$2:$I$346,8,FALSE)," ")</f>
        <v>8</v>
      </c>
      <c r="L940" s="120" t="str">
        <f>IFERROR(VLOOKUP(J940,'[1]ABC Master Lists'!$AQ$2:$AS$12,3,FALSE)," ")</f>
        <v>+</v>
      </c>
      <c r="M940" s="120" t="str">
        <f>IFERROR(VLOOKUP(K940,'[1]ABC Master Lists'!$AD$2:$AE$22,2,FALSE), " ")</f>
        <v>+</v>
      </c>
    </row>
    <row r="941" spans="1:13" x14ac:dyDescent="0.25">
      <c r="D941" s="26">
        <v>9</v>
      </c>
      <c r="E941" s="51" t="s">
        <v>10</v>
      </c>
      <c r="F941" s="4">
        <v>6</v>
      </c>
      <c r="G941" s="76" t="s">
        <v>146</v>
      </c>
      <c r="H941" s="41" t="s">
        <v>5</v>
      </c>
      <c r="I941" s="36">
        <v>87</v>
      </c>
      <c r="J941" s="79">
        <f>IFERROR(VLOOKUP(I941,'[1]ABC Master Lists'!$B$2:$I$346,4,FALSE)," ")</f>
        <v>4</v>
      </c>
      <c r="K941" s="79">
        <f>IFERROR(VLOOKUP(I941,'[1]ABC Master Lists'!$B$2:$I$346,8,FALSE)," ")</f>
        <v>6</v>
      </c>
      <c r="L941" s="118" t="str">
        <f>IFERROR(VLOOKUP(J941,'[1]ABC Master Lists'!$AQ$2:$AS$12,3,FALSE)," ")</f>
        <v>+</v>
      </c>
      <c r="M941" s="118" t="str">
        <f>IFERROR(VLOOKUP(K941,'[1]ABC Master Lists'!$AD$2:$AE$22,2,FALSE), " ")</f>
        <v>+</v>
      </c>
    </row>
    <row r="942" spans="1:13" x14ac:dyDescent="0.25">
      <c r="E942" s="51" t="s">
        <v>8</v>
      </c>
      <c r="F942" s="4">
        <v>0.25</v>
      </c>
      <c r="G942" s="76" t="s">
        <v>54</v>
      </c>
      <c r="H942" s="41" t="s">
        <v>5</v>
      </c>
      <c r="J942" s="79" t="str">
        <f>IFERROR(VLOOKUP(I942,'[1]ABC Master Lists'!$B$2:$I$346,4,FALSE)," ")</f>
        <v xml:space="preserve"> </v>
      </c>
      <c r="K942" s="79" t="str">
        <f>IFERROR(VLOOKUP(I942,'[1]ABC Master Lists'!$B$2:$I$346,8,FALSE)," ")</f>
        <v xml:space="preserve"> </v>
      </c>
      <c r="L942" s="118" t="str">
        <f>IFERROR(VLOOKUP(J942,'[1]ABC Master Lists'!$AQ$2:$AS$12,3,FALSE)," ")</f>
        <v xml:space="preserve"> </v>
      </c>
      <c r="M942" s="118" t="str">
        <f>IFERROR(VLOOKUP(K942,'[1]ABC Master Lists'!$AD$2:$AE$22,2,FALSE), " ")</f>
        <v xml:space="preserve"> </v>
      </c>
    </row>
    <row r="943" spans="1:13" x14ac:dyDescent="0.25">
      <c r="D943" s="28">
        <v>10</v>
      </c>
      <c r="E943" s="197" t="s">
        <v>44</v>
      </c>
      <c r="F943" s="20">
        <v>4</v>
      </c>
      <c r="G943" s="198" t="s">
        <v>80</v>
      </c>
      <c r="H943" s="44" t="s">
        <v>5</v>
      </c>
      <c r="I943" s="38">
        <v>155</v>
      </c>
      <c r="J943" s="83">
        <f>IFERROR(VLOOKUP(I943,'[1]ABC Master Lists'!$B$2:$I$346,4,FALSE)," ")</f>
        <v>162426</v>
      </c>
      <c r="K943" s="83">
        <f>IFERROR(VLOOKUP(I943,'[1]ABC Master Lists'!$B$2:$I$346,8,FALSE)," ")</f>
        <v>6</v>
      </c>
      <c r="L943" s="122" t="str">
        <f>IFERROR(VLOOKUP(J943,'[1]ABC Master Lists'!$AQ$2:$AS$12,3,FALSE)," ")</f>
        <v xml:space="preserve"> </v>
      </c>
      <c r="M943" s="122" t="str">
        <f>IFERROR(VLOOKUP(K943,'[1]ABC Master Lists'!$AD$2:$AE$22,2,FALSE), " ")</f>
        <v>+</v>
      </c>
    </row>
    <row r="944" spans="1:13" x14ac:dyDescent="0.25">
      <c r="E944" s="51" t="s">
        <v>15</v>
      </c>
      <c r="F944" s="4">
        <v>4</v>
      </c>
      <c r="G944" s="76" t="s">
        <v>80</v>
      </c>
      <c r="H944" s="41" t="s">
        <v>5</v>
      </c>
      <c r="J944" s="79" t="str">
        <f>IFERROR(VLOOKUP(I944,'[1]ABC Master Lists'!$B$2:$I$346,4,FALSE)," ")</f>
        <v xml:space="preserve"> </v>
      </c>
      <c r="K944" s="79" t="str">
        <f>IFERROR(VLOOKUP(I944,'[1]ABC Master Lists'!$B$2:$I$346,8,FALSE)," ")</f>
        <v xml:space="preserve"> </v>
      </c>
      <c r="L944" s="118" t="str">
        <f>IFERROR(VLOOKUP(J944,'[1]ABC Master Lists'!$AQ$2:$AS$12,3,FALSE)," ")</f>
        <v xml:space="preserve"> </v>
      </c>
      <c r="M944" s="118" t="str">
        <f>IFERROR(VLOOKUP(K944,'[1]ABC Master Lists'!$AD$2:$AE$22,2,FALSE), " ")</f>
        <v xml:space="preserve"> </v>
      </c>
    </row>
    <row r="945" spans="4:13" x14ac:dyDescent="0.25">
      <c r="D945" s="29"/>
      <c r="E945" s="100" t="s">
        <v>8</v>
      </c>
      <c r="F945" s="23">
        <v>0.25</v>
      </c>
      <c r="G945" s="199" t="s">
        <v>54</v>
      </c>
      <c r="H945" s="47" t="s">
        <v>5</v>
      </c>
      <c r="I945" s="39"/>
      <c r="J945" s="82" t="str">
        <f>IFERROR(VLOOKUP(I945,'[1]ABC Master Lists'!$B$2:$I$346,4,FALSE)," ")</f>
        <v xml:space="preserve"> </v>
      </c>
      <c r="K945" s="82" t="str">
        <f>IFERROR(VLOOKUP(I945,'[1]ABC Master Lists'!$B$2:$I$346,8,FALSE)," ")</f>
        <v xml:space="preserve"> </v>
      </c>
      <c r="L945" s="121" t="str">
        <f>IFERROR(VLOOKUP(J945,'[1]ABC Master Lists'!$AQ$2:$AS$12,3,FALSE)," ")</f>
        <v xml:space="preserve"> </v>
      </c>
      <c r="M945" s="121" t="str">
        <f>IFERROR(VLOOKUP(K945,'[1]ABC Master Lists'!$AD$2:$AE$22,2,FALSE), " ")</f>
        <v xml:space="preserve"> </v>
      </c>
    </row>
    <row r="946" spans="4:13" x14ac:dyDescent="0.25">
      <c r="D946" s="26">
        <v>11</v>
      </c>
      <c r="E946" s="51" t="s">
        <v>10</v>
      </c>
      <c r="F946" s="4">
        <v>8</v>
      </c>
      <c r="G946" s="76" t="s">
        <v>146</v>
      </c>
      <c r="H946" s="41" t="s">
        <v>5</v>
      </c>
      <c r="I946" s="36">
        <v>90</v>
      </c>
      <c r="J946" s="79">
        <f>IFERROR(VLOOKUP(I946,'[1]ABC Master Lists'!$B$2:$I$346,4,FALSE)," ")</f>
        <v>4</v>
      </c>
      <c r="K946" s="79">
        <f>IFERROR(VLOOKUP(I946,'[1]ABC Master Lists'!$B$2:$I$346,8,FALSE)," ")</f>
        <v>6</v>
      </c>
      <c r="L946" s="118" t="str">
        <f>IFERROR(VLOOKUP(J946,'[1]ABC Master Lists'!$AQ$2:$AS$12,3,FALSE)," ")</f>
        <v>+</v>
      </c>
      <c r="M946" s="118" t="str">
        <f>IFERROR(VLOOKUP(K946,'[1]ABC Master Lists'!$AD$2:$AE$22,2,FALSE), " ")</f>
        <v>+</v>
      </c>
    </row>
    <row r="947" spans="4:13" x14ac:dyDescent="0.25">
      <c r="E947" s="51" t="s">
        <v>8</v>
      </c>
      <c r="F947" s="4">
        <v>0.25</v>
      </c>
      <c r="G947" s="76" t="s">
        <v>54</v>
      </c>
      <c r="H947" s="41" t="s">
        <v>5</v>
      </c>
      <c r="J947" s="79" t="str">
        <f>IFERROR(VLOOKUP(I947,'[1]ABC Master Lists'!$B$2:$I$346,4,FALSE)," ")</f>
        <v xml:space="preserve"> </v>
      </c>
      <c r="K947" s="79" t="str">
        <f>IFERROR(VLOOKUP(I947,'[1]ABC Master Lists'!$B$2:$I$346,8,FALSE)," ")</f>
        <v xml:space="preserve"> </v>
      </c>
      <c r="L947" s="118" t="str">
        <f>IFERROR(VLOOKUP(J947,'[1]ABC Master Lists'!$AQ$2:$AS$12,3,FALSE)," ")</f>
        <v xml:space="preserve"> </v>
      </c>
      <c r="M947" s="118" t="str">
        <f>IFERROR(VLOOKUP(K947,'[1]ABC Master Lists'!$AD$2:$AE$22,2,FALSE), " ")</f>
        <v xml:space="preserve"> </v>
      </c>
    </row>
    <row r="948" spans="4:13" x14ac:dyDescent="0.25">
      <c r="D948" s="28">
        <v>12</v>
      </c>
      <c r="E948" s="197" t="s">
        <v>18</v>
      </c>
      <c r="F948" s="20">
        <v>6</v>
      </c>
      <c r="G948" s="198" t="s">
        <v>80</v>
      </c>
      <c r="H948" s="44" t="s">
        <v>5</v>
      </c>
      <c r="I948" s="38">
        <v>65</v>
      </c>
      <c r="J948" s="83">
        <f>IFERROR(VLOOKUP(I948,'[1]ABC Master Lists'!$B$2:$I$346,4,FALSE)," ")</f>
        <v>184</v>
      </c>
      <c r="K948" s="83">
        <f>IFERROR(VLOOKUP(I948,'[1]ABC Master Lists'!$B$2:$I$346,8,FALSE)," ")</f>
        <v>6</v>
      </c>
      <c r="L948" s="122" t="str">
        <f>IFERROR(VLOOKUP(J948,'[1]ABC Master Lists'!$AQ$2:$AS$12,3,FALSE)," ")</f>
        <v xml:space="preserve"> </v>
      </c>
      <c r="M948" s="122" t="str">
        <f>IFERROR(VLOOKUP(K948,'[1]ABC Master Lists'!$AD$2:$AE$22,2,FALSE), " ")</f>
        <v>+</v>
      </c>
    </row>
    <row r="949" spans="4:13" x14ac:dyDescent="0.25">
      <c r="E949" s="51" t="s">
        <v>10</v>
      </c>
      <c r="F949" s="4">
        <v>8</v>
      </c>
      <c r="G949" s="76" t="s">
        <v>146</v>
      </c>
      <c r="H949" s="41" t="s">
        <v>5</v>
      </c>
      <c r="J949" s="79" t="str">
        <f>IFERROR(VLOOKUP(I949,'[1]ABC Master Lists'!$B$2:$I$346,4,FALSE)," ")</f>
        <v xml:space="preserve"> </v>
      </c>
      <c r="K949" s="79" t="str">
        <f>IFERROR(VLOOKUP(I949,'[1]ABC Master Lists'!$B$2:$I$346,8,FALSE)," ")</f>
        <v xml:space="preserve"> </v>
      </c>
      <c r="L949" s="118" t="str">
        <f>IFERROR(VLOOKUP(J949,'[1]ABC Master Lists'!$AQ$2:$AS$12,3,FALSE)," ")</f>
        <v xml:space="preserve"> </v>
      </c>
      <c r="M949" s="118" t="str">
        <f>IFERROR(VLOOKUP(K949,'[1]ABC Master Lists'!$AD$2:$AE$22,2,FALSE), " ")</f>
        <v xml:space="preserve"> </v>
      </c>
    </row>
    <row r="950" spans="4:13" x14ac:dyDescent="0.25">
      <c r="D950" s="29"/>
      <c r="E950" s="100" t="s">
        <v>8</v>
      </c>
      <c r="F950" s="23">
        <v>0.25</v>
      </c>
      <c r="G950" s="199" t="s">
        <v>54</v>
      </c>
      <c r="H950" s="47" t="s">
        <v>5</v>
      </c>
      <c r="I950" s="39"/>
      <c r="J950" s="82" t="str">
        <f>IFERROR(VLOOKUP(I950,'[1]ABC Master Lists'!$B$2:$I$346,4,FALSE)," ")</f>
        <v xml:space="preserve"> </v>
      </c>
      <c r="K950" s="82" t="str">
        <f>IFERROR(VLOOKUP(I950,'[1]ABC Master Lists'!$B$2:$I$346,8,FALSE)," ")</f>
        <v xml:space="preserve"> </v>
      </c>
      <c r="L950" s="121" t="str">
        <f>IFERROR(VLOOKUP(J950,'[1]ABC Master Lists'!$AQ$2:$AS$12,3,FALSE)," ")</f>
        <v xml:space="preserve"> </v>
      </c>
      <c r="M950" s="121" t="str">
        <f>IFERROR(VLOOKUP(K950,'[1]ABC Master Lists'!$AD$2:$AE$22,2,FALSE), " ")</f>
        <v xml:space="preserve"> </v>
      </c>
    </row>
    <row r="951" spans="4:13" x14ac:dyDescent="0.25">
      <c r="D951" s="26">
        <v>13</v>
      </c>
      <c r="E951" s="51" t="s">
        <v>44</v>
      </c>
      <c r="F951" s="4">
        <v>4</v>
      </c>
      <c r="G951" s="76" t="s">
        <v>80</v>
      </c>
      <c r="H951" s="41" t="s">
        <v>5</v>
      </c>
      <c r="I951" s="36">
        <v>101</v>
      </c>
      <c r="J951" s="79">
        <f>IFERROR(VLOOKUP(I951,'[1]ABC Master Lists'!$B$2:$I$346,4,FALSE)," ")</f>
        <v>41624</v>
      </c>
      <c r="K951" s="79">
        <f>IFERROR(VLOOKUP(I951,'[1]ABC Master Lists'!$B$2:$I$346,8,FALSE)," ")</f>
        <v>6</v>
      </c>
      <c r="L951" s="118" t="str">
        <f>IFERROR(VLOOKUP(J951,'[1]ABC Master Lists'!$AQ$2:$AS$12,3,FALSE)," ")</f>
        <v>+</v>
      </c>
      <c r="M951" s="118" t="str">
        <f>IFERROR(VLOOKUP(K951,'[1]ABC Master Lists'!$AD$2:$AE$22,2,FALSE), " ")</f>
        <v>+</v>
      </c>
    </row>
    <row r="952" spans="4:13" x14ac:dyDescent="0.25">
      <c r="E952" s="51" t="s">
        <v>10</v>
      </c>
      <c r="F952" s="4">
        <v>6</v>
      </c>
      <c r="G952" s="76" t="s">
        <v>80</v>
      </c>
      <c r="H952" s="41" t="s">
        <v>5</v>
      </c>
      <c r="J952" s="79" t="str">
        <f>IFERROR(VLOOKUP(I952,'[1]ABC Master Lists'!$B$2:$I$346,4,FALSE)," ")</f>
        <v xml:space="preserve"> </v>
      </c>
      <c r="K952" s="79" t="str">
        <f>IFERROR(VLOOKUP(I952,'[1]ABC Master Lists'!$B$2:$I$346,8,FALSE)," ")</f>
        <v xml:space="preserve"> </v>
      </c>
      <c r="L952" s="118" t="str">
        <f>IFERROR(VLOOKUP(J952,'[1]ABC Master Lists'!$AQ$2:$AS$12,3,FALSE)," ")</f>
        <v xml:space="preserve"> </v>
      </c>
      <c r="M952" s="118" t="str">
        <f>IFERROR(VLOOKUP(K952,'[1]ABC Master Lists'!$AD$2:$AE$22,2,FALSE), " ")</f>
        <v xml:space="preserve"> </v>
      </c>
    </row>
    <row r="953" spans="4:13" x14ac:dyDescent="0.25">
      <c r="E953" s="51" t="s">
        <v>8</v>
      </c>
      <c r="F953" s="4">
        <v>0.25</v>
      </c>
      <c r="G953" s="76" t="s">
        <v>54</v>
      </c>
      <c r="H953" s="41" t="s">
        <v>5</v>
      </c>
      <c r="J953" s="79" t="str">
        <f>IFERROR(VLOOKUP(I953,'[1]ABC Master Lists'!$B$2:$I$346,4,FALSE)," ")</f>
        <v xml:space="preserve"> </v>
      </c>
      <c r="K953" s="79" t="str">
        <f>IFERROR(VLOOKUP(I953,'[1]ABC Master Lists'!$B$2:$I$346,8,FALSE)," ")</f>
        <v xml:space="preserve"> </v>
      </c>
      <c r="L953" s="118" t="str">
        <f>IFERROR(VLOOKUP(J953,'[1]ABC Master Lists'!$AQ$2:$AS$12,3,FALSE)," ")</f>
        <v xml:space="preserve"> </v>
      </c>
      <c r="M953" s="118" t="str">
        <f>IFERROR(VLOOKUP(K953,'[1]ABC Master Lists'!$AD$2:$AE$22,2,FALSE), " ")</f>
        <v xml:space="preserve"> </v>
      </c>
    </row>
    <row r="954" spans="4:13" x14ac:dyDescent="0.25">
      <c r="D954" s="28">
        <v>14</v>
      </c>
      <c r="E954" s="197" t="s">
        <v>10</v>
      </c>
      <c r="F954" s="20">
        <v>6</v>
      </c>
      <c r="G954" s="198" t="s">
        <v>146</v>
      </c>
      <c r="H954" s="44" t="s">
        <v>5</v>
      </c>
      <c r="I954" s="38">
        <v>241</v>
      </c>
      <c r="J954" s="83">
        <f>IFERROR(VLOOKUP(I954,'[1]ABC Master Lists'!$B$2:$I$346,4,FALSE)," ")</f>
        <v>41624</v>
      </c>
      <c r="K954" s="83">
        <f>IFERROR(VLOOKUP(I954,'[1]ABC Master Lists'!$B$2:$I$346,8,FALSE)," ")</f>
        <v>67</v>
      </c>
      <c r="L954" s="122" t="str">
        <f>IFERROR(VLOOKUP(J954,'[1]ABC Master Lists'!$AQ$2:$AS$12,3,FALSE)," ")</f>
        <v>+</v>
      </c>
      <c r="M954" s="122" t="str">
        <f>IFERROR(VLOOKUP(K954,'[1]ABC Master Lists'!$AD$2:$AE$22,2,FALSE), " ")</f>
        <v>+</v>
      </c>
    </row>
    <row r="955" spans="4:13" x14ac:dyDescent="0.25">
      <c r="E955" s="51" t="s">
        <v>8</v>
      </c>
      <c r="F955" s="4">
        <v>0.25</v>
      </c>
      <c r="G955" s="76" t="s">
        <v>54</v>
      </c>
      <c r="H955" s="41" t="s">
        <v>5</v>
      </c>
      <c r="J955" s="79" t="str">
        <f>IFERROR(VLOOKUP(I955,'[1]ABC Master Lists'!$B$2:$I$346,4,FALSE)," ")</f>
        <v xml:space="preserve"> </v>
      </c>
      <c r="K955" s="79" t="str">
        <f>IFERROR(VLOOKUP(I955,'[1]ABC Master Lists'!$B$2:$I$346,8,FALSE)," ")</f>
        <v xml:space="preserve"> </v>
      </c>
      <c r="L955" s="118" t="str">
        <f>IFERROR(VLOOKUP(J955,'[1]ABC Master Lists'!$AQ$2:$AS$12,3,FALSE)," ")</f>
        <v xml:space="preserve"> </v>
      </c>
      <c r="M955" s="118" t="str">
        <f>IFERROR(VLOOKUP(K955,'[1]ABC Master Lists'!$AD$2:$AE$22,2,FALSE), " ")</f>
        <v xml:space="preserve"> </v>
      </c>
    </row>
    <row r="956" spans="4:13" x14ac:dyDescent="0.25">
      <c r="E956" s="51" t="s">
        <v>44</v>
      </c>
      <c r="F956" s="4">
        <v>4</v>
      </c>
      <c r="G956" s="76" t="s">
        <v>80</v>
      </c>
      <c r="H956" s="41" t="s">
        <v>57</v>
      </c>
      <c r="J956" s="79" t="str">
        <f>IFERROR(VLOOKUP(I956,'[1]ABC Master Lists'!$B$2:$I$346,4,FALSE)," ")</f>
        <v xml:space="preserve"> </v>
      </c>
      <c r="K956" s="79" t="str">
        <f>IFERROR(VLOOKUP(I956,'[1]ABC Master Lists'!$B$2:$I$346,8,FALSE)," ")</f>
        <v xml:space="preserve"> </v>
      </c>
      <c r="L956" s="118" t="str">
        <f>IFERROR(VLOOKUP(J956,'[1]ABC Master Lists'!$AQ$2:$AS$12,3,FALSE)," ")</f>
        <v xml:space="preserve"> </v>
      </c>
      <c r="M956" s="118" t="str">
        <f>IFERROR(VLOOKUP(K956,'[1]ABC Master Lists'!$AD$2:$AE$22,2,FALSE), " ")</f>
        <v xml:space="preserve"> </v>
      </c>
    </row>
    <row r="957" spans="4:13" x14ac:dyDescent="0.25">
      <c r="D957" s="29"/>
      <c r="E957" s="100" t="s">
        <v>8</v>
      </c>
      <c r="F957" s="23">
        <v>0.25</v>
      </c>
      <c r="G957" s="199" t="s">
        <v>54</v>
      </c>
      <c r="H957" s="47" t="s">
        <v>57</v>
      </c>
      <c r="I957" s="39"/>
      <c r="J957" s="82" t="str">
        <f>IFERROR(VLOOKUP(I957,'[1]ABC Master Lists'!$B$2:$I$346,4,FALSE)," ")</f>
        <v xml:space="preserve"> </v>
      </c>
      <c r="K957" s="82" t="str">
        <f>IFERROR(VLOOKUP(I957,'[1]ABC Master Lists'!$B$2:$I$346,8,FALSE)," ")</f>
        <v xml:space="preserve"> </v>
      </c>
      <c r="L957" s="121" t="str">
        <f>IFERROR(VLOOKUP(J957,'[1]ABC Master Lists'!$AQ$2:$AS$12,3,FALSE)," ")</f>
        <v xml:space="preserve"> </v>
      </c>
      <c r="M957" s="121" t="str">
        <f>IFERROR(VLOOKUP(K957,'[1]ABC Master Lists'!$AD$2:$AE$22,2,FALSE), " ")</f>
        <v xml:space="preserve"> </v>
      </c>
    </row>
    <row r="958" spans="4:13" x14ac:dyDescent="0.25">
      <c r="D958" s="26">
        <v>15</v>
      </c>
      <c r="E958" s="51" t="s">
        <v>6</v>
      </c>
      <c r="F958" s="4">
        <v>9</v>
      </c>
      <c r="G958" s="76" t="s">
        <v>80</v>
      </c>
      <c r="H958" s="41" t="s">
        <v>5</v>
      </c>
      <c r="I958" s="36">
        <v>22</v>
      </c>
      <c r="J958" s="79">
        <f>IFERROR(VLOOKUP(I958,'[1]ABC Master Lists'!$B$2:$I$346,4,FALSE)," ")</f>
        <v>20</v>
      </c>
      <c r="K958" s="79">
        <f>IFERROR(VLOOKUP(I958,'[1]ABC Master Lists'!$B$2:$I$346,8,FALSE)," ")</f>
        <v>67</v>
      </c>
      <c r="L958" s="118" t="str">
        <f>IFERROR(VLOOKUP(J958,'[1]ABC Master Lists'!$AQ$2:$AS$12,3,FALSE)," ")</f>
        <v>+</v>
      </c>
      <c r="M958" s="118" t="str">
        <f>IFERROR(VLOOKUP(K958,'[1]ABC Master Lists'!$AD$2:$AE$22,2,FALSE), " ")</f>
        <v>+</v>
      </c>
    </row>
    <row r="959" spans="4:13" x14ac:dyDescent="0.25">
      <c r="E959" s="51" t="s">
        <v>8</v>
      </c>
      <c r="F959" s="4">
        <v>0.25</v>
      </c>
      <c r="G959" s="76" t="s">
        <v>54</v>
      </c>
      <c r="H959" s="41" t="s">
        <v>5</v>
      </c>
      <c r="J959" s="79" t="str">
        <f>IFERROR(VLOOKUP(I959,'[1]ABC Master Lists'!$B$2:$I$346,4,FALSE)," ")</f>
        <v xml:space="preserve"> </v>
      </c>
      <c r="K959" s="79" t="str">
        <f>IFERROR(VLOOKUP(I959,'[1]ABC Master Lists'!$B$2:$I$346,8,FALSE)," ")</f>
        <v xml:space="preserve"> </v>
      </c>
      <c r="L959" s="118" t="str">
        <f>IFERROR(VLOOKUP(J959,'[1]ABC Master Lists'!$AQ$2:$AS$12,3,FALSE)," ")</f>
        <v xml:space="preserve"> </v>
      </c>
      <c r="M959" s="118" t="str">
        <f>IFERROR(VLOOKUP(K959,'[1]ABC Master Lists'!$AD$2:$AE$22,2,FALSE), " ")</f>
        <v xml:space="preserve"> </v>
      </c>
    </row>
    <row r="960" spans="4:13" x14ac:dyDescent="0.25">
      <c r="E960" s="51" t="s">
        <v>6</v>
      </c>
      <c r="F960" s="4">
        <v>9</v>
      </c>
      <c r="G960" s="76" t="s">
        <v>80</v>
      </c>
      <c r="H960" s="41" t="s">
        <v>57</v>
      </c>
      <c r="J960" s="79" t="str">
        <f>IFERROR(VLOOKUP(I960,'[1]ABC Master Lists'!$B$2:$I$346,4,FALSE)," ")</f>
        <v xml:space="preserve"> </v>
      </c>
      <c r="K960" s="79" t="str">
        <f>IFERROR(VLOOKUP(I960,'[1]ABC Master Lists'!$B$2:$I$346,8,FALSE)," ")</f>
        <v xml:space="preserve"> </v>
      </c>
      <c r="L960" s="118" t="str">
        <f>IFERROR(VLOOKUP(J960,'[1]ABC Master Lists'!$AQ$2:$AS$12,3,FALSE)," ")</f>
        <v xml:space="preserve"> </v>
      </c>
      <c r="M960" s="118" t="str">
        <f>IFERROR(VLOOKUP(K960,'[1]ABC Master Lists'!$AD$2:$AE$22,2,FALSE), " ")</f>
        <v xml:space="preserve"> </v>
      </c>
    </row>
    <row r="961" spans="1:13" x14ac:dyDescent="0.25">
      <c r="A961" s="25"/>
      <c r="B961" s="25"/>
      <c r="C961" s="25"/>
      <c r="E961" s="51" t="s">
        <v>8</v>
      </c>
      <c r="F961" s="4">
        <v>0.25</v>
      </c>
      <c r="G961" s="76" t="s">
        <v>54</v>
      </c>
      <c r="H961" s="36" t="s">
        <v>57</v>
      </c>
      <c r="J961" s="79" t="str">
        <f>IFERROR(VLOOKUP(I961,'[1]ABC Master Lists'!$B$2:$I$346,4,FALSE)," ")</f>
        <v xml:space="preserve"> </v>
      </c>
      <c r="K961" s="79" t="str">
        <f>IFERROR(VLOOKUP(I961,'[1]ABC Master Lists'!$B$2:$I$346,8,FALSE)," ")</f>
        <v xml:space="preserve"> </v>
      </c>
      <c r="L961" s="118" t="str">
        <f>IFERROR(VLOOKUP(J961,'[1]ABC Master Lists'!$AQ$2:$AS$12,3,FALSE)," ")</f>
        <v xml:space="preserve"> </v>
      </c>
      <c r="M961" s="118" t="str">
        <f>IFERROR(VLOOKUP(K961,'[1]ABC Master Lists'!$AD$2:$AE$22,2,FALSE), " ")</f>
        <v xml:space="preserve"> </v>
      </c>
    </row>
    <row r="962" spans="1:13" x14ac:dyDescent="0.25">
      <c r="A962" s="24">
        <v>2016</v>
      </c>
      <c r="B962" s="24" t="s">
        <v>168</v>
      </c>
      <c r="C962" s="24">
        <v>16230</v>
      </c>
      <c r="D962" s="27">
        <v>1</v>
      </c>
      <c r="E962" s="200" t="s">
        <v>144</v>
      </c>
      <c r="F962" s="172" t="s">
        <v>2</v>
      </c>
      <c r="G962" s="196" t="s">
        <v>2</v>
      </c>
      <c r="H962" s="27" t="s">
        <v>2</v>
      </c>
      <c r="I962" s="27">
        <v>1</v>
      </c>
      <c r="J962" s="27" t="str">
        <f>IFERROR(VLOOKUP(I962,'[1]ABC Master Lists'!$B$2:$I$346,4,FALSE)," ")</f>
        <v>.</v>
      </c>
      <c r="K962" s="27" t="str">
        <f>IFERROR(VLOOKUP(I962,'[1]ABC Master Lists'!$B$2:$I$346,8,FALSE)," ")</f>
        <v>.</v>
      </c>
      <c r="L962" s="120" t="str">
        <f>IFERROR(VLOOKUP(J962,'[1]ABC Master Lists'!$AQ$2:$AS$12,3,FALSE)," ")</f>
        <v>+</v>
      </c>
      <c r="M962" s="120" t="str">
        <f>IFERROR(VLOOKUP(K962,'[1]ABC Master Lists'!$AD$2:$AE$22,2,FALSE), " ")</f>
        <v>+</v>
      </c>
    </row>
    <row r="963" spans="1:13" x14ac:dyDescent="0.25">
      <c r="D963" s="27">
        <v>2</v>
      </c>
      <c r="E963" s="200" t="s">
        <v>132</v>
      </c>
      <c r="F963" s="4">
        <v>5</v>
      </c>
      <c r="G963" s="76" t="s">
        <v>80</v>
      </c>
      <c r="H963" s="204" t="s">
        <v>5</v>
      </c>
      <c r="I963" s="27">
        <v>9</v>
      </c>
      <c r="J963" s="27">
        <f>IFERROR(VLOOKUP(I963,'[1]ABC Master Lists'!$B$2:$I$346,4,FALSE)," ")</f>
        <v>26</v>
      </c>
      <c r="K963" s="27">
        <f>IFERROR(VLOOKUP(I963,'[1]ABC Master Lists'!$B$2:$I$346,8,FALSE)," ")</f>
        <v>6</v>
      </c>
      <c r="L963" s="120" t="str">
        <f>IFERROR(VLOOKUP(J963,'[1]ABC Master Lists'!$AQ$2:$AS$12,3,FALSE)," ")</f>
        <v>+</v>
      </c>
      <c r="M963" s="120" t="str">
        <f>IFERROR(VLOOKUP(K963,'[1]ABC Master Lists'!$AD$2:$AE$22,2,FALSE), " ")</f>
        <v>+</v>
      </c>
    </row>
    <row r="964" spans="1:13" x14ac:dyDescent="0.25">
      <c r="D964" s="27">
        <v>3</v>
      </c>
      <c r="E964" s="200" t="s">
        <v>133</v>
      </c>
      <c r="F964" s="172">
        <v>23</v>
      </c>
      <c r="G964" s="201" t="s">
        <v>80</v>
      </c>
      <c r="H964" s="204" t="s">
        <v>5</v>
      </c>
      <c r="I964" s="27">
        <v>11</v>
      </c>
      <c r="J964" s="27">
        <f>IFERROR(VLOOKUP(I964,'[1]ABC Master Lists'!$B$2:$I$346,4,FALSE)," ")</f>
        <v>2826</v>
      </c>
      <c r="K964" s="27">
        <f>IFERROR(VLOOKUP(I964,'[1]ABC Master Lists'!$B$2:$I$346,8,FALSE)," ")</f>
        <v>6</v>
      </c>
      <c r="L964" s="120" t="str">
        <f>IFERROR(VLOOKUP(J964,'[1]ABC Master Lists'!$AQ$2:$AS$12,3,FALSE)," ")</f>
        <v xml:space="preserve"> </v>
      </c>
      <c r="M964" s="120" t="str">
        <f>IFERROR(VLOOKUP(K964,'[1]ABC Master Lists'!$AD$2:$AE$22,2,FALSE), " ")</f>
        <v>+</v>
      </c>
    </row>
    <row r="965" spans="1:13" x14ac:dyDescent="0.25">
      <c r="D965" s="27">
        <v>4</v>
      </c>
      <c r="E965" s="200" t="s">
        <v>134</v>
      </c>
      <c r="F965" s="4">
        <v>16</v>
      </c>
      <c r="G965" s="76" t="s">
        <v>80</v>
      </c>
      <c r="H965" s="204" t="s">
        <v>5</v>
      </c>
      <c r="I965" s="27">
        <v>192</v>
      </c>
      <c r="J965" s="27" t="str">
        <f>IFERROR(VLOOKUP(I965,'[1]ABC Master Lists'!$B$2:$I$346,4,FALSE)," ")</f>
        <v>U</v>
      </c>
      <c r="K965" s="27">
        <f>IFERROR(VLOOKUP(I965,'[1]ABC Master Lists'!$B$2:$I$346,8,FALSE)," ")</f>
        <v>6</v>
      </c>
      <c r="L965" s="120" t="str">
        <f>IFERROR(VLOOKUP(J965,'[1]ABC Master Lists'!$AQ$2:$AS$12,3,FALSE)," ")</f>
        <v xml:space="preserve"> </v>
      </c>
      <c r="M965" s="120" t="str">
        <f>IFERROR(VLOOKUP(K965,'[1]ABC Master Lists'!$AD$2:$AE$22,2,FALSE), " ")</f>
        <v>+</v>
      </c>
    </row>
    <row r="966" spans="1:13" x14ac:dyDescent="0.25">
      <c r="D966" s="27">
        <v>5</v>
      </c>
      <c r="E966" s="200" t="s">
        <v>134</v>
      </c>
      <c r="F966" s="172">
        <v>13</v>
      </c>
      <c r="G966" s="201" t="s">
        <v>80</v>
      </c>
      <c r="H966" s="204" t="s">
        <v>5</v>
      </c>
      <c r="I966" s="27">
        <v>190</v>
      </c>
      <c r="J966" s="27" t="str">
        <f>IFERROR(VLOOKUP(I966,'[1]ABC Master Lists'!$B$2:$I$346,4,FALSE)," ")</f>
        <v>U</v>
      </c>
      <c r="K966" s="27">
        <f>IFERROR(VLOOKUP(I966,'[1]ABC Master Lists'!$B$2:$I$346,8,FALSE)," ")</f>
        <v>6</v>
      </c>
      <c r="L966" s="120" t="str">
        <f>IFERROR(VLOOKUP(J966,'[1]ABC Master Lists'!$AQ$2:$AS$12,3,FALSE)," ")</f>
        <v xml:space="preserve"> </v>
      </c>
      <c r="M966" s="120" t="str">
        <f>IFERROR(VLOOKUP(K966,'[1]ABC Master Lists'!$AD$2:$AE$22,2,FALSE), " ")</f>
        <v>+</v>
      </c>
    </row>
    <row r="967" spans="1:13" x14ac:dyDescent="0.25">
      <c r="D967" s="27">
        <v>6</v>
      </c>
      <c r="E967" s="200" t="s">
        <v>136</v>
      </c>
      <c r="F967" s="4">
        <v>32</v>
      </c>
      <c r="G967" s="76" t="s">
        <v>80</v>
      </c>
      <c r="H967" s="204" t="s">
        <v>5</v>
      </c>
      <c r="I967" s="27">
        <v>135</v>
      </c>
      <c r="J967" s="27">
        <f>IFERROR(VLOOKUP(I967,'[1]ABC Master Lists'!$B$2:$I$346,4,FALSE)," ")</f>
        <v>265</v>
      </c>
      <c r="K967" s="27">
        <f>IFERROR(VLOOKUP(I967,'[1]ABC Master Lists'!$B$2:$I$346,8,FALSE)," ")</f>
        <v>6</v>
      </c>
      <c r="L967" s="120" t="str">
        <f>IFERROR(VLOOKUP(J967,'[1]ABC Master Lists'!$AQ$2:$AS$12,3,FALSE)," ")</f>
        <v xml:space="preserve"> </v>
      </c>
      <c r="M967" s="120" t="str">
        <f>IFERROR(VLOOKUP(K967,'[1]ABC Master Lists'!$AD$2:$AE$22,2,FALSE), " ")</f>
        <v>+</v>
      </c>
    </row>
    <row r="968" spans="1:13" x14ac:dyDescent="0.25">
      <c r="D968" s="27">
        <v>7</v>
      </c>
      <c r="E968" s="200" t="s">
        <v>137</v>
      </c>
      <c r="F968" s="172">
        <v>24</v>
      </c>
      <c r="G968" s="201" t="s">
        <v>80</v>
      </c>
      <c r="H968" s="204" t="s">
        <v>5</v>
      </c>
      <c r="I968" s="27">
        <v>84</v>
      </c>
      <c r="J968" s="27">
        <f>IFERROR(VLOOKUP(I968,'[1]ABC Master Lists'!$B$2:$I$346,4,FALSE)," ")</f>
        <v>5</v>
      </c>
      <c r="K968" s="27">
        <f>IFERROR(VLOOKUP(I968,'[1]ABC Master Lists'!$B$2:$I$346,8,FALSE)," ")</f>
        <v>6</v>
      </c>
      <c r="L968" s="120" t="str">
        <f>IFERROR(VLOOKUP(J968,'[1]ABC Master Lists'!$AQ$2:$AS$12,3,FALSE)," ")</f>
        <v xml:space="preserve"> </v>
      </c>
      <c r="M968" s="120" t="str">
        <f>IFERROR(VLOOKUP(K968,'[1]ABC Master Lists'!$AD$2:$AE$22,2,FALSE), " ")</f>
        <v>+</v>
      </c>
    </row>
    <row r="969" spans="1:13" x14ac:dyDescent="0.25">
      <c r="D969" s="27">
        <v>8</v>
      </c>
      <c r="E969" s="200" t="s">
        <v>147</v>
      </c>
      <c r="F969" s="4">
        <v>20</v>
      </c>
      <c r="G969" s="76" t="s">
        <v>80</v>
      </c>
      <c r="H969" s="204" t="s">
        <v>5</v>
      </c>
      <c r="I969" s="27">
        <v>194</v>
      </c>
      <c r="J969" s="27" t="str">
        <f>IFERROR(VLOOKUP(I969,'[1]ABC Master Lists'!$B$2:$I$346,4,FALSE)," ")</f>
        <v>U</v>
      </c>
      <c r="K969" s="27">
        <f>IFERROR(VLOOKUP(I969,'[1]ABC Master Lists'!$B$2:$I$346,8,FALSE)," ")</f>
        <v>6</v>
      </c>
      <c r="L969" s="120" t="str">
        <f>IFERROR(VLOOKUP(J969,'[1]ABC Master Lists'!$AQ$2:$AS$12,3,FALSE)," ")</f>
        <v xml:space="preserve"> </v>
      </c>
      <c r="M969" s="120" t="str">
        <f>IFERROR(VLOOKUP(K969,'[1]ABC Master Lists'!$AD$2:$AE$22,2,FALSE), " ")</f>
        <v>+</v>
      </c>
    </row>
    <row r="970" spans="1:13" x14ac:dyDescent="0.25">
      <c r="D970" s="27">
        <v>9</v>
      </c>
      <c r="E970" s="200" t="s">
        <v>147</v>
      </c>
      <c r="F970" s="172">
        <v>25</v>
      </c>
      <c r="G970" s="201" t="s">
        <v>80</v>
      </c>
      <c r="H970" s="204" t="s">
        <v>5</v>
      </c>
      <c r="I970" s="27">
        <v>195</v>
      </c>
      <c r="J970" s="27" t="str">
        <f>IFERROR(VLOOKUP(I970,'[1]ABC Master Lists'!$B$2:$I$346,4,FALSE)," ")</f>
        <v>U</v>
      </c>
      <c r="K970" s="27">
        <f>IFERROR(VLOOKUP(I970,'[1]ABC Master Lists'!$B$2:$I$346,8,FALSE)," ")</f>
        <v>6</v>
      </c>
      <c r="L970" s="120" t="str">
        <f>IFERROR(VLOOKUP(J970,'[1]ABC Master Lists'!$AQ$2:$AS$12,3,FALSE)," ")</f>
        <v xml:space="preserve"> </v>
      </c>
      <c r="M970" s="120" t="str">
        <f>IFERROR(VLOOKUP(K970,'[1]ABC Master Lists'!$AD$2:$AE$22,2,FALSE), " ")</f>
        <v>+</v>
      </c>
    </row>
    <row r="971" spans="1:13" x14ac:dyDescent="0.25">
      <c r="D971" s="27">
        <v>10</v>
      </c>
      <c r="E971" s="200" t="s">
        <v>147</v>
      </c>
      <c r="F971" s="4">
        <v>50</v>
      </c>
      <c r="G971" s="76" t="s">
        <v>80</v>
      </c>
      <c r="H971" s="204" t="s">
        <v>5</v>
      </c>
      <c r="I971" s="27">
        <v>196</v>
      </c>
      <c r="J971" s="27" t="str">
        <f>IFERROR(VLOOKUP(I971,'[1]ABC Master Lists'!$B$2:$I$346,4,FALSE)," ")</f>
        <v>U</v>
      </c>
      <c r="K971" s="27">
        <f>IFERROR(VLOOKUP(I971,'[1]ABC Master Lists'!$B$2:$I$346,8,FALSE)," ")</f>
        <v>6</v>
      </c>
      <c r="L971" s="120" t="str">
        <f>IFERROR(VLOOKUP(J971,'[1]ABC Master Lists'!$AQ$2:$AS$12,3,FALSE)," ")</f>
        <v xml:space="preserve"> </v>
      </c>
      <c r="M971" s="120" t="str">
        <f>IFERROR(VLOOKUP(K971,'[1]ABC Master Lists'!$AD$2:$AE$22,2,FALSE), " ")</f>
        <v>+</v>
      </c>
    </row>
    <row r="972" spans="1:13" x14ac:dyDescent="0.25">
      <c r="D972" s="27">
        <v>11</v>
      </c>
      <c r="E972" s="200" t="s">
        <v>14</v>
      </c>
      <c r="F972" s="172">
        <v>6</v>
      </c>
      <c r="G972" s="201" t="s">
        <v>80</v>
      </c>
      <c r="H972" s="204" t="s">
        <v>5</v>
      </c>
      <c r="I972" s="27">
        <v>110</v>
      </c>
      <c r="J972" s="27">
        <f>IFERROR(VLOOKUP(I972,'[1]ABC Master Lists'!$B$2:$I$346,4,FALSE)," ")</f>
        <v>24</v>
      </c>
      <c r="K972" s="27">
        <f>IFERROR(VLOOKUP(I972,'[1]ABC Master Lists'!$B$2:$I$346,8,FALSE)," ")</f>
        <v>6</v>
      </c>
      <c r="L972" s="120" t="str">
        <f>IFERROR(VLOOKUP(J972,'[1]ABC Master Lists'!$AQ$2:$AS$12,3,FALSE)," ")</f>
        <v xml:space="preserve"> </v>
      </c>
      <c r="M972" s="120" t="str">
        <f>IFERROR(VLOOKUP(K972,'[1]ABC Master Lists'!$AD$2:$AE$22,2,FALSE), " ")</f>
        <v>+</v>
      </c>
    </row>
    <row r="973" spans="1:13" x14ac:dyDescent="0.25">
      <c r="D973" s="27">
        <v>12</v>
      </c>
      <c r="E973" s="200" t="s">
        <v>10</v>
      </c>
      <c r="F973" s="172">
        <v>8</v>
      </c>
      <c r="G973" s="201" t="s">
        <v>146</v>
      </c>
      <c r="H973" s="204" t="s">
        <v>5</v>
      </c>
      <c r="I973" s="27">
        <v>90</v>
      </c>
      <c r="J973" s="27">
        <f>IFERROR(VLOOKUP(I973,'[1]ABC Master Lists'!$B$2:$I$346,4,FALSE)," ")</f>
        <v>4</v>
      </c>
      <c r="K973" s="27">
        <f>IFERROR(VLOOKUP(I973,'[1]ABC Master Lists'!$B$2:$I$346,8,FALSE)," ")</f>
        <v>6</v>
      </c>
      <c r="L973" s="120" t="str">
        <f>IFERROR(VLOOKUP(J973,'[1]ABC Master Lists'!$AQ$2:$AS$12,3,FALSE)," ")</f>
        <v>+</v>
      </c>
      <c r="M973" s="120" t="str">
        <f>IFERROR(VLOOKUP(K973,'[1]ABC Master Lists'!$AD$2:$AE$22,2,FALSE), " ")</f>
        <v>+</v>
      </c>
    </row>
    <row r="974" spans="1:13" x14ac:dyDescent="0.25">
      <c r="D974" s="26">
        <v>13</v>
      </c>
      <c r="E974" s="51" t="s">
        <v>132</v>
      </c>
      <c r="F974" s="4">
        <v>5</v>
      </c>
      <c r="G974" s="76" t="s">
        <v>80</v>
      </c>
      <c r="H974" s="41" t="s">
        <v>5</v>
      </c>
      <c r="I974" s="36">
        <v>67</v>
      </c>
      <c r="J974" s="79">
        <f>IFERROR(VLOOKUP(I974,'[1]ABC Master Lists'!$B$2:$I$346,4,FALSE)," ")</f>
        <v>726</v>
      </c>
      <c r="K974" s="79">
        <f>IFERROR(VLOOKUP(I974,'[1]ABC Master Lists'!$B$2:$I$346,8,FALSE)," ")</f>
        <v>16</v>
      </c>
      <c r="L974" s="118" t="str">
        <f>IFERROR(VLOOKUP(J974,'[1]ABC Master Lists'!$AQ$2:$AS$12,3,FALSE)," ")</f>
        <v xml:space="preserve"> </v>
      </c>
    </row>
    <row r="975" spans="1:13" x14ac:dyDescent="0.25">
      <c r="E975" s="51" t="s">
        <v>141</v>
      </c>
      <c r="F975" s="4">
        <v>1</v>
      </c>
      <c r="G975" s="76" t="s">
        <v>142</v>
      </c>
      <c r="H975" s="41" t="s">
        <v>148</v>
      </c>
      <c r="J975" s="79" t="str">
        <f>IFERROR(VLOOKUP(I975,'[1]ABC Master Lists'!$B$2:$I$346,4,FALSE)," ")</f>
        <v xml:space="preserve"> </v>
      </c>
      <c r="K975" s="79" t="str">
        <f>IFERROR(VLOOKUP(I975,'[1]ABC Master Lists'!$B$2:$I$346,8,FALSE)," ")</f>
        <v xml:space="preserve"> </v>
      </c>
      <c r="L975" s="118" t="str">
        <f>IFERROR(VLOOKUP(J975,'[1]ABC Master Lists'!$AQ$2:$AS$12,3,FALSE)," ")</f>
        <v xml:space="preserve"> </v>
      </c>
    </row>
    <row r="976" spans="1:13" x14ac:dyDescent="0.25">
      <c r="D976" s="28">
        <v>14</v>
      </c>
      <c r="E976" s="197" t="s">
        <v>133</v>
      </c>
      <c r="F976" s="20">
        <v>23</v>
      </c>
      <c r="G976" s="198" t="s">
        <v>80</v>
      </c>
      <c r="H976" s="44" t="s">
        <v>5</v>
      </c>
      <c r="I976" s="38">
        <v>69</v>
      </c>
      <c r="J976" s="83">
        <f>IFERROR(VLOOKUP(I976,'[1]ABC Master Lists'!$B$2:$I$346,4,FALSE)," ")</f>
        <v>72826</v>
      </c>
      <c r="K976" s="83">
        <f>IFERROR(VLOOKUP(I976,'[1]ABC Master Lists'!$B$2:$I$346,8,FALSE)," ")</f>
        <v>16</v>
      </c>
      <c r="L976" s="122" t="str">
        <f>IFERROR(VLOOKUP(J976,'[1]ABC Master Lists'!$AQ$2:$AS$12,3,FALSE)," ")</f>
        <v xml:space="preserve"> </v>
      </c>
      <c r="M976" s="122"/>
    </row>
    <row r="977" spans="1:13" x14ac:dyDescent="0.25">
      <c r="D977" s="29"/>
      <c r="E977" s="100" t="s">
        <v>141</v>
      </c>
      <c r="F977" s="23">
        <v>1</v>
      </c>
      <c r="G977" s="199" t="s">
        <v>142</v>
      </c>
      <c r="H977" s="47" t="s">
        <v>148</v>
      </c>
      <c r="I977" s="39"/>
      <c r="J977" s="82" t="str">
        <f>IFERROR(VLOOKUP(I977,'[1]ABC Master Lists'!$B$2:$I$346,4,FALSE)," ")</f>
        <v xml:space="preserve"> </v>
      </c>
      <c r="K977" s="82" t="str">
        <f>IFERROR(VLOOKUP(I977,'[1]ABC Master Lists'!$B$2:$I$346,8,FALSE)," ")</f>
        <v xml:space="preserve"> </v>
      </c>
      <c r="L977" s="121" t="str">
        <f>IFERROR(VLOOKUP(J977,'[1]ABC Master Lists'!$AQ$2:$AS$12,3,FALSE)," ")</f>
        <v xml:space="preserve"> </v>
      </c>
      <c r="M977" s="121" t="str">
        <f>IFERROR(VLOOKUP(K977,'[1]ABC Master Lists'!$AD$2:$AE$22,2,FALSE), " ")</f>
        <v xml:space="preserve"> </v>
      </c>
    </row>
    <row r="978" spans="1:13" x14ac:dyDescent="0.25">
      <c r="D978" s="26">
        <v>15</v>
      </c>
      <c r="E978" s="51" t="s">
        <v>6</v>
      </c>
      <c r="F978" s="4">
        <v>9</v>
      </c>
      <c r="G978" s="76" t="s">
        <v>80</v>
      </c>
      <c r="H978" s="41" t="s">
        <v>5</v>
      </c>
      <c r="I978" s="36">
        <v>23</v>
      </c>
      <c r="J978" s="79">
        <f>IFERROR(VLOOKUP(I978,'[1]ABC Master Lists'!$B$2:$I$346,4,FALSE)," ")</f>
        <v>20</v>
      </c>
      <c r="K978" s="79">
        <f>IFERROR(VLOOKUP(I978,'[1]ABC Master Lists'!$B$2:$I$346,8,FALSE)," ")</f>
        <v>68</v>
      </c>
      <c r="L978" s="118" t="str">
        <f>IFERROR(VLOOKUP(J978,'[1]ABC Master Lists'!$AQ$2:$AS$12,3,FALSE)," ")</f>
        <v>+</v>
      </c>
      <c r="M978" s="118" t="str">
        <f>IFERROR(VLOOKUP(K978,'[1]ABC Master Lists'!$AD$2:$AE$22,2,FALSE), " ")</f>
        <v>+</v>
      </c>
    </row>
    <row r="979" spans="1:13" x14ac:dyDescent="0.25">
      <c r="E979" s="51" t="s">
        <v>6</v>
      </c>
      <c r="F979" s="4">
        <v>9</v>
      </c>
      <c r="G979" s="76" t="s">
        <v>80</v>
      </c>
      <c r="H979" s="36" t="s">
        <v>20</v>
      </c>
      <c r="J979" s="79" t="str">
        <f>IFERROR(VLOOKUP(I979,'[1]ABC Master Lists'!$B$2:$I$346,4,FALSE)," ")</f>
        <v xml:space="preserve"> </v>
      </c>
      <c r="K979" s="79" t="str">
        <f>IFERROR(VLOOKUP(I979,'[1]ABC Master Lists'!$B$2:$I$346,8,FALSE)," ")</f>
        <v xml:space="preserve"> </v>
      </c>
      <c r="L979" s="118" t="str">
        <f>IFERROR(VLOOKUP(J979,'[1]ABC Master Lists'!$AQ$2:$AS$12,3,FALSE)," ")</f>
        <v xml:space="preserve"> </v>
      </c>
      <c r="M979" s="118" t="str">
        <f>IFERROR(VLOOKUP(K979,'[1]ABC Master Lists'!$AD$2:$AE$22,2,FALSE), " ")</f>
        <v xml:space="preserve"> </v>
      </c>
    </row>
    <row r="980" spans="1:13" x14ac:dyDescent="0.25">
      <c r="A980" s="31">
        <v>2016</v>
      </c>
      <c r="B980" s="31" t="s">
        <v>172</v>
      </c>
      <c r="C980" s="31">
        <v>1</v>
      </c>
      <c r="D980" s="28">
        <v>7</v>
      </c>
      <c r="E980" s="31" t="s">
        <v>13</v>
      </c>
      <c r="F980" s="20">
        <v>3</v>
      </c>
      <c r="G980" s="34" t="s">
        <v>80</v>
      </c>
      <c r="H980" s="38" t="s">
        <v>5</v>
      </c>
      <c r="I980" s="38">
        <v>166</v>
      </c>
      <c r="J980" s="83">
        <f>IFERROR(VLOOKUP(I980,'[1]ABC Master Lists'!$B$2:$I$346,4,FALSE)," ")</f>
        <v>2229</v>
      </c>
      <c r="K980" s="83">
        <f>IFERROR(VLOOKUP(I980,'[1]ABC Master Lists'!$B$2:$I$346,8,FALSE)," ")</f>
        <v>68</v>
      </c>
      <c r="L980" s="122" t="str">
        <f>IFERROR(VLOOKUP(J980,'[1]ABC Master Lists'!$AQ$2:$AS$12,3,FALSE)," ")</f>
        <v>+</v>
      </c>
      <c r="M980" s="122" t="str">
        <f>IFERROR(VLOOKUP(K980,'[1]ABC Master Lists'!$AD$2:$AE$22,2,FALSE), " ")</f>
        <v>+</v>
      </c>
    </row>
    <row r="981" spans="1:13" x14ac:dyDescent="0.25">
      <c r="D981" s="29"/>
      <c r="E981" s="25" t="s">
        <v>149</v>
      </c>
      <c r="F981" s="23">
        <v>4</v>
      </c>
      <c r="G981" s="35" t="s">
        <v>80</v>
      </c>
      <c r="H981" s="39" t="s">
        <v>20</v>
      </c>
      <c r="I981" s="39"/>
      <c r="J981" s="82" t="str">
        <f>IFERROR(VLOOKUP(I981,'[1]ABC Master Lists'!$B$2:$I$346,4,FALSE)," ")</f>
        <v xml:space="preserve"> </v>
      </c>
      <c r="K981" s="82" t="str">
        <f>IFERROR(VLOOKUP(I981,'[1]ABC Master Lists'!$B$2:$I$346,8,FALSE)," ")</f>
        <v xml:space="preserve"> </v>
      </c>
      <c r="L981" s="121" t="str">
        <f>IFERROR(VLOOKUP(J981,'[1]ABC Master Lists'!$AQ$2:$AS$12,3,FALSE)," ")</f>
        <v xml:space="preserve"> </v>
      </c>
      <c r="M981" s="121" t="str">
        <f>IFERROR(VLOOKUP(K981,'[1]ABC Master Lists'!$AD$2:$AE$22,2,FALSE), " ")</f>
        <v xml:space="preserve"> </v>
      </c>
    </row>
    <row r="982" spans="1:13" x14ac:dyDescent="0.25">
      <c r="D982" s="26">
        <v>8</v>
      </c>
      <c r="E982" s="24" t="s">
        <v>150</v>
      </c>
      <c r="F982" s="4" t="s">
        <v>2</v>
      </c>
      <c r="G982" s="71" t="s">
        <v>2</v>
      </c>
      <c r="H982" s="36" t="s">
        <v>2</v>
      </c>
      <c r="I982" s="36">
        <v>1</v>
      </c>
      <c r="J982" s="79" t="str">
        <f>IFERROR(VLOOKUP(I982,'[1]ABC Master Lists'!$B$2:$I$346,4,FALSE)," ")</f>
        <v>.</v>
      </c>
      <c r="K982" s="79" t="str">
        <f>IFERROR(VLOOKUP(I982,'[1]ABC Master Lists'!$B$2:$I$346,8,FALSE)," ")</f>
        <v>.</v>
      </c>
      <c r="L982" s="118" t="str">
        <f>IFERROR(VLOOKUP(J982,'[1]ABC Master Lists'!$AQ$2:$AS$12,3,FALSE)," ")</f>
        <v>+</v>
      </c>
      <c r="M982" s="118" t="str">
        <f>IFERROR(VLOOKUP(K982,'[1]ABC Master Lists'!$AD$2:$AE$22,2,FALSE), " ")</f>
        <v>+</v>
      </c>
    </row>
    <row r="983" spans="1:13" x14ac:dyDescent="0.25">
      <c r="D983" s="27">
        <v>12</v>
      </c>
      <c r="E983" s="30" t="s">
        <v>151</v>
      </c>
      <c r="F983" s="17" t="s">
        <v>2</v>
      </c>
      <c r="G983" s="196" t="s">
        <v>2</v>
      </c>
      <c r="H983" s="37" t="s">
        <v>2</v>
      </c>
      <c r="I983" s="37">
        <v>1</v>
      </c>
      <c r="J983" s="81" t="str">
        <f>IFERROR(VLOOKUP(I983,'[1]ABC Master Lists'!$B$2:$I$346,4,FALSE)," ")</f>
        <v>.</v>
      </c>
      <c r="K983" s="81" t="str">
        <f>IFERROR(VLOOKUP(I983,'[1]ABC Master Lists'!$B$2:$I$346,8,FALSE)," ")</f>
        <v>.</v>
      </c>
      <c r="L983" s="120" t="str">
        <f>IFERROR(VLOOKUP(J983,'[1]ABC Master Lists'!$AQ$2:$AS$12,3,FALSE)," ")</f>
        <v>+</v>
      </c>
      <c r="M983" s="120" t="str">
        <f>IFERROR(VLOOKUP(K983,'[1]ABC Master Lists'!$AD$2:$AE$22,2,FALSE), " ")</f>
        <v>+</v>
      </c>
    </row>
    <row r="984" spans="1:13" x14ac:dyDescent="0.25">
      <c r="D984" s="26">
        <v>16</v>
      </c>
      <c r="E984" s="24" t="s">
        <v>10</v>
      </c>
      <c r="F984" s="4">
        <v>8</v>
      </c>
      <c r="G984" s="32" t="s">
        <v>146</v>
      </c>
      <c r="H984" s="36" t="s">
        <v>5</v>
      </c>
      <c r="I984" s="36">
        <v>90</v>
      </c>
      <c r="J984" s="79">
        <f>IFERROR(VLOOKUP(I984,'[1]ABC Master Lists'!$B$2:$I$346,4,FALSE)," ")</f>
        <v>4</v>
      </c>
      <c r="K984" s="79">
        <f>IFERROR(VLOOKUP(I984,'[1]ABC Master Lists'!$B$2:$I$346,8,FALSE)," ")</f>
        <v>6</v>
      </c>
      <c r="L984" s="118" t="str">
        <f>IFERROR(VLOOKUP(J984,'[1]ABC Master Lists'!$AQ$2:$AS$12,3,FALSE)," ")</f>
        <v>+</v>
      </c>
      <c r="M984" s="118" t="str">
        <f>IFERROR(VLOOKUP(K984,'[1]ABC Master Lists'!$AD$2:$AE$22,2,FALSE), " ")</f>
        <v>+</v>
      </c>
    </row>
    <row r="985" spans="1:13" x14ac:dyDescent="0.25">
      <c r="D985" s="27">
        <v>18</v>
      </c>
      <c r="E985" s="30" t="s">
        <v>10</v>
      </c>
      <c r="F985" s="17">
        <v>6</v>
      </c>
      <c r="G985" s="33" t="s">
        <v>80</v>
      </c>
      <c r="H985" s="37" t="s">
        <v>5</v>
      </c>
      <c r="I985" s="37">
        <v>87</v>
      </c>
      <c r="J985" s="81">
        <f>IFERROR(VLOOKUP(I985,'[1]ABC Master Lists'!$B$2:$I$346,4,FALSE)," ")</f>
        <v>4</v>
      </c>
      <c r="K985" s="81">
        <f>IFERROR(VLOOKUP(I985,'[1]ABC Master Lists'!$B$2:$I$346,8,FALSE)," ")</f>
        <v>6</v>
      </c>
      <c r="L985" s="120" t="str">
        <f>IFERROR(VLOOKUP(J985,'[1]ABC Master Lists'!$AQ$2:$AS$12,3,FALSE)," ")</f>
        <v>+</v>
      </c>
      <c r="M985" s="120" t="str">
        <f>IFERROR(VLOOKUP(K985,'[1]ABC Master Lists'!$AD$2:$AE$22,2,FALSE), " ")</f>
        <v>+</v>
      </c>
    </row>
    <row r="986" spans="1:13" x14ac:dyDescent="0.25">
      <c r="D986" s="26">
        <v>21</v>
      </c>
      <c r="E986" s="24" t="s">
        <v>13</v>
      </c>
      <c r="F986" s="4">
        <v>3</v>
      </c>
      <c r="G986" s="32" t="s">
        <v>80</v>
      </c>
      <c r="H986" s="36" t="s">
        <v>5</v>
      </c>
      <c r="I986" s="36">
        <v>156</v>
      </c>
      <c r="J986" s="79">
        <f>IFERROR(VLOOKUP(I986,'[1]ABC Master Lists'!$B$2:$I$346,4,FALSE)," ")</f>
        <v>22</v>
      </c>
      <c r="K986" s="79">
        <f>IFERROR(VLOOKUP(I986,'[1]ABC Master Lists'!$B$2:$I$346,8,FALSE)," ")</f>
        <v>6</v>
      </c>
      <c r="L986" s="118" t="str">
        <f>IFERROR(VLOOKUP(J986,'[1]ABC Master Lists'!$AQ$2:$AS$12,3,FALSE)," ")</f>
        <v>+</v>
      </c>
      <c r="M986" s="118" t="str">
        <f>IFERROR(VLOOKUP(K986,'[1]ABC Master Lists'!$AD$2:$AE$22,2,FALSE), " ")</f>
        <v>+</v>
      </c>
    </row>
    <row r="987" spans="1:13" x14ac:dyDescent="0.25">
      <c r="D987" s="27">
        <v>28</v>
      </c>
      <c r="E987" s="30" t="s">
        <v>15</v>
      </c>
      <c r="F987" s="17">
        <v>4</v>
      </c>
      <c r="G987" s="33" t="s">
        <v>80</v>
      </c>
      <c r="H987" s="37" t="s">
        <v>5</v>
      </c>
      <c r="I987" s="37">
        <v>72</v>
      </c>
      <c r="J987" s="81">
        <f>IFERROR(VLOOKUP(I987,'[1]ABC Master Lists'!$B$2:$I$346,4,FALSE)," ")</f>
        <v>26</v>
      </c>
      <c r="K987" s="81">
        <f>IFERROR(VLOOKUP(I987,'[1]ABC Master Lists'!$B$2:$I$346,8,FALSE)," ")</f>
        <v>6</v>
      </c>
      <c r="L987" s="120" t="str">
        <f>IFERROR(VLOOKUP(J987,'[1]ABC Master Lists'!$AQ$2:$AS$12,3,FALSE)," ")</f>
        <v>+</v>
      </c>
      <c r="M987" s="120" t="str">
        <f>IFERROR(VLOOKUP(K987,'[1]ABC Master Lists'!$AD$2:$AE$22,2,FALSE), " ")</f>
        <v>+</v>
      </c>
    </row>
    <row r="988" spans="1:13" x14ac:dyDescent="0.25">
      <c r="D988" s="26">
        <v>29</v>
      </c>
      <c r="E988" s="24" t="s">
        <v>44</v>
      </c>
      <c r="F988" s="4">
        <v>4</v>
      </c>
      <c r="G988" s="32" t="s">
        <v>80</v>
      </c>
      <c r="H988" s="36" t="s">
        <v>5</v>
      </c>
      <c r="I988" s="36">
        <v>155</v>
      </c>
      <c r="J988" s="79">
        <f>IFERROR(VLOOKUP(I988,'[1]ABC Master Lists'!$B$2:$I$346,4,FALSE)," ")</f>
        <v>162426</v>
      </c>
      <c r="K988" s="79">
        <f>IFERROR(VLOOKUP(I988,'[1]ABC Master Lists'!$B$2:$I$346,8,FALSE)," ")</f>
        <v>6</v>
      </c>
      <c r="L988" s="118" t="str">
        <f>IFERROR(VLOOKUP(J988,'[1]ABC Master Lists'!$AQ$2:$AS$12,3,FALSE)," ")</f>
        <v xml:space="preserve"> </v>
      </c>
      <c r="M988" s="118" t="str">
        <f>IFERROR(VLOOKUP(K988,'[1]ABC Master Lists'!$AD$2:$AE$22,2,FALSE), " ")</f>
        <v>+</v>
      </c>
    </row>
    <row r="989" spans="1:13" x14ac:dyDescent="0.25">
      <c r="A989" s="25"/>
      <c r="B989" s="25"/>
      <c r="C989" s="25"/>
      <c r="E989" s="24" t="s">
        <v>15</v>
      </c>
      <c r="F989" s="4">
        <v>4</v>
      </c>
      <c r="G989" s="32" t="s">
        <v>80</v>
      </c>
      <c r="H989" s="36" t="s">
        <v>5</v>
      </c>
      <c r="J989" s="79" t="str">
        <f>IFERROR(VLOOKUP(I989,'[1]ABC Master Lists'!$B$2:$I$346,4,FALSE)," ")</f>
        <v xml:space="preserve"> </v>
      </c>
      <c r="K989" s="79" t="str">
        <f>IFERROR(VLOOKUP(I989,'[1]ABC Master Lists'!$B$2:$I$346,8,FALSE)," ")</f>
        <v xml:space="preserve"> </v>
      </c>
      <c r="L989" s="118" t="str">
        <f>IFERROR(VLOOKUP(J989,'[1]ABC Master Lists'!$AQ$2:$AS$12,3,FALSE)," ")</f>
        <v xml:space="preserve"> </v>
      </c>
      <c r="M989" s="118" t="str">
        <f>IFERROR(VLOOKUP(K989,'[1]ABC Master Lists'!$AD$2:$AE$22,2,FALSE), " ")</f>
        <v xml:space="preserve"> </v>
      </c>
    </row>
    <row r="990" spans="1:13" x14ac:dyDescent="0.25">
      <c r="A990" s="24">
        <v>2016</v>
      </c>
      <c r="B990" s="24" t="s">
        <v>172</v>
      </c>
      <c r="C990" s="24">
        <v>1</v>
      </c>
      <c r="D990" s="27">
        <v>6</v>
      </c>
      <c r="E990" s="30" t="s">
        <v>6</v>
      </c>
      <c r="F990" s="17">
        <v>9</v>
      </c>
      <c r="G990" s="33" t="s">
        <v>80</v>
      </c>
      <c r="H990" s="37" t="s">
        <v>5</v>
      </c>
      <c r="I990" s="37">
        <v>17</v>
      </c>
      <c r="J990" s="81">
        <f>IFERROR(VLOOKUP(I990,'[1]ABC Master Lists'!$B$2:$I$346,4,FALSE)," ")</f>
        <v>20</v>
      </c>
      <c r="K990" s="81">
        <f>IFERROR(VLOOKUP(I990,'[1]ABC Master Lists'!$B$2:$I$346,8,FALSE)," ")</f>
        <v>6</v>
      </c>
      <c r="L990" s="120" t="str">
        <f>IFERROR(VLOOKUP(J990,'[1]ABC Master Lists'!$AQ$2:$AS$12,3,FALSE)," ")</f>
        <v>+</v>
      </c>
      <c r="M990" s="120" t="str">
        <f>IFERROR(VLOOKUP(K990,'[1]ABC Master Lists'!$AD$2:$AE$22,2,FALSE), " ")</f>
        <v>+</v>
      </c>
    </row>
    <row r="991" spans="1:13" x14ac:dyDescent="0.25">
      <c r="D991" s="26">
        <v>7</v>
      </c>
      <c r="E991" s="24" t="s">
        <v>13</v>
      </c>
      <c r="F991" s="4">
        <v>3</v>
      </c>
      <c r="G991" s="32" t="s">
        <v>80</v>
      </c>
      <c r="H991" s="36" t="s">
        <v>5</v>
      </c>
      <c r="I991" s="36">
        <v>168</v>
      </c>
      <c r="J991" s="79">
        <f>IFERROR(VLOOKUP(I991,'[1]ABC Master Lists'!$B$2:$I$346,4,FALSE)," ")</f>
        <v>2229</v>
      </c>
      <c r="K991" s="79">
        <f>IFERROR(VLOOKUP(I991,'[1]ABC Master Lists'!$B$2:$I$346,8,FALSE)," ")</f>
        <v>68</v>
      </c>
      <c r="L991" s="118" t="str">
        <f>IFERROR(VLOOKUP(J991,'[1]ABC Master Lists'!$AQ$2:$AS$12,3,FALSE)," ")</f>
        <v>+</v>
      </c>
      <c r="M991" s="118" t="str">
        <f>IFERROR(VLOOKUP(K991,'[1]ABC Master Lists'!$AD$2:$AE$22,2,FALSE), " ")</f>
        <v>+</v>
      </c>
    </row>
    <row r="992" spans="1:13" x14ac:dyDescent="0.25">
      <c r="E992" s="24" t="s">
        <v>149</v>
      </c>
      <c r="F992" s="4">
        <v>4.6500000000000004</v>
      </c>
      <c r="G992" s="32" t="s">
        <v>80</v>
      </c>
      <c r="H992" s="36" t="s">
        <v>20</v>
      </c>
      <c r="J992" s="79" t="str">
        <f>IFERROR(VLOOKUP(I992,'[1]ABC Master Lists'!$B$2:$I$346,4,FALSE)," ")</f>
        <v xml:space="preserve"> </v>
      </c>
      <c r="K992" s="79" t="str">
        <f>IFERROR(VLOOKUP(I992,'[1]ABC Master Lists'!$B$2:$I$346,8,FALSE)," ")</f>
        <v xml:space="preserve"> </v>
      </c>
      <c r="L992" s="118" t="str">
        <f>IFERROR(VLOOKUP(J992,'[1]ABC Master Lists'!$AQ$2:$AS$12,3,FALSE)," ")</f>
        <v xml:space="preserve"> </v>
      </c>
      <c r="M992" s="118" t="str">
        <f>IFERROR(VLOOKUP(K992,'[1]ABC Master Lists'!$AD$2:$AE$22,2,FALSE), " ")</f>
        <v xml:space="preserve"> </v>
      </c>
    </row>
    <row r="993" spans="1:13" x14ac:dyDescent="0.25">
      <c r="D993" s="27">
        <v>8</v>
      </c>
      <c r="E993" s="30" t="s">
        <v>150</v>
      </c>
      <c r="F993" s="17" t="s">
        <v>2</v>
      </c>
      <c r="G993" s="196" t="s">
        <v>2</v>
      </c>
      <c r="H993" s="37" t="s">
        <v>2</v>
      </c>
      <c r="I993" s="37">
        <v>1</v>
      </c>
      <c r="J993" s="81" t="str">
        <f>IFERROR(VLOOKUP(I993,'[1]ABC Master Lists'!$B$2:$I$346,4,FALSE)," ")</f>
        <v>.</v>
      </c>
      <c r="K993" s="81" t="str">
        <f>IFERROR(VLOOKUP(I993,'[1]ABC Master Lists'!$B$2:$I$346,8,FALSE)," ")</f>
        <v>.</v>
      </c>
      <c r="L993" s="120" t="str">
        <f>IFERROR(VLOOKUP(J993,'[1]ABC Master Lists'!$AQ$2:$AS$12,3,FALSE)," ")</f>
        <v>+</v>
      </c>
      <c r="M993" s="120" t="str">
        <f>IFERROR(VLOOKUP(K993,'[1]ABC Master Lists'!$AD$2:$AE$22,2,FALSE), " ")</f>
        <v>+</v>
      </c>
    </row>
    <row r="994" spans="1:13" x14ac:dyDescent="0.25">
      <c r="D994" s="26">
        <v>9</v>
      </c>
      <c r="E994" s="24" t="s">
        <v>48</v>
      </c>
      <c r="F994" s="4">
        <v>5</v>
      </c>
      <c r="G994" s="32" t="s">
        <v>80</v>
      </c>
      <c r="H994" s="36" t="s">
        <v>5</v>
      </c>
      <c r="I994" s="36">
        <v>106</v>
      </c>
      <c r="J994" s="79">
        <f>IFERROR(VLOOKUP(I994,'[1]ABC Master Lists'!$B$2:$I$346,4,FALSE)," ")</f>
        <v>1415</v>
      </c>
      <c r="K994" s="79">
        <f>IFERROR(VLOOKUP(I994,'[1]ABC Master Lists'!$B$2:$I$346,8,FALSE)," ")</f>
        <v>6</v>
      </c>
      <c r="L994" s="118" t="str">
        <f>IFERROR(VLOOKUP(J994,'[1]ABC Master Lists'!$AQ$2:$AS$12,3,FALSE)," ")</f>
        <v>+</v>
      </c>
      <c r="M994" s="118" t="str">
        <f>IFERROR(VLOOKUP(K994,'[1]ABC Master Lists'!$AD$2:$AE$22,2,FALSE), " ")</f>
        <v>+</v>
      </c>
    </row>
    <row r="995" spans="1:13" x14ac:dyDescent="0.25">
      <c r="D995" s="27">
        <v>10</v>
      </c>
      <c r="E995" s="30" t="s">
        <v>48</v>
      </c>
      <c r="F995" s="17">
        <v>5</v>
      </c>
      <c r="G995" s="33" t="s">
        <v>80</v>
      </c>
      <c r="H995" s="37" t="s">
        <v>20</v>
      </c>
      <c r="I995" s="37">
        <v>108</v>
      </c>
      <c r="J995" s="81">
        <f>IFERROR(VLOOKUP(I995,'[1]ABC Master Lists'!$B$2:$I$346,4,FALSE)," ")</f>
        <v>1415</v>
      </c>
      <c r="K995" s="81">
        <f>IFERROR(VLOOKUP(I995,'[1]ABC Master Lists'!$B$2:$I$346,8,FALSE)," ")</f>
        <v>8</v>
      </c>
      <c r="L995" s="120" t="str">
        <f>IFERROR(VLOOKUP(J995,'[1]ABC Master Lists'!$AQ$2:$AS$12,3,FALSE)," ")</f>
        <v>+</v>
      </c>
      <c r="M995" s="120" t="str">
        <f>IFERROR(VLOOKUP(K995,'[1]ABC Master Lists'!$AD$2:$AE$22,2,FALSE), " ")</f>
        <v>+</v>
      </c>
    </row>
    <row r="996" spans="1:13" x14ac:dyDescent="0.25">
      <c r="D996" s="26">
        <v>12</v>
      </c>
      <c r="E996" s="24" t="s">
        <v>151</v>
      </c>
      <c r="F996" s="4" t="s">
        <v>2</v>
      </c>
      <c r="G996" s="71" t="s">
        <v>2</v>
      </c>
      <c r="H996" s="36" t="s">
        <v>2</v>
      </c>
      <c r="I996" s="36">
        <v>1</v>
      </c>
      <c r="J996" s="79" t="str">
        <f>IFERROR(VLOOKUP(I996,'[1]ABC Master Lists'!$B$2:$I$346,4,FALSE)," ")</f>
        <v>.</v>
      </c>
      <c r="K996" s="79" t="str">
        <f>IFERROR(VLOOKUP(I996,'[1]ABC Master Lists'!$B$2:$I$346,8,FALSE)," ")</f>
        <v>.</v>
      </c>
      <c r="L996" s="118" t="str">
        <f>IFERROR(VLOOKUP(J996,'[1]ABC Master Lists'!$AQ$2:$AS$12,3,FALSE)," ")</f>
        <v>+</v>
      </c>
      <c r="M996" s="118" t="str">
        <f>IFERROR(VLOOKUP(K996,'[1]ABC Master Lists'!$AD$2:$AE$22,2,FALSE), " ")</f>
        <v>+</v>
      </c>
    </row>
    <row r="997" spans="1:13" x14ac:dyDescent="0.25">
      <c r="D997" s="27">
        <v>16</v>
      </c>
      <c r="E997" s="30" t="s">
        <v>10</v>
      </c>
      <c r="F997" s="17">
        <v>8</v>
      </c>
      <c r="G997" s="33" t="s">
        <v>146</v>
      </c>
      <c r="H997" s="37" t="s">
        <v>5</v>
      </c>
      <c r="I997" s="37">
        <v>90</v>
      </c>
      <c r="J997" s="81">
        <f>IFERROR(VLOOKUP(I997,'[1]ABC Master Lists'!$B$2:$I$346,4,FALSE)," ")</f>
        <v>4</v>
      </c>
      <c r="K997" s="81">
        <f>IFERROR(VLOOKUP(I997,'[1]ABC Master Lists'!$B$2:$I$346,8,FALSE)," ")</f>
        <v>6</v>
      </c>
      <c r="L997" s="120" t="str">
        <f>IFERROR(VLOOKUP(J997,'[1]ABC Master Lists'!$AQ$2:$AS$12,3,FALSE)," ")</f>
        <v>+</v>
      </c>
      <c r="M997" s="120" t="str">
        <f>IFERROR(VLOOKUP(K997,'[1]ABC Master Lists'!$AD$2:$AE$22,2,FALSE), " ")</f>
        <v>+</v>
      </c>
    </row>
    <row r="998" spans="1:13" x14ac:dyDescent="0.25">
      <c r="D998" s="26">
        <v>22</v>
      </c>
      <c r="E998" s="24" t="s">
        <v>13</v>
      </c>
      <c r="F998" s="4">
        <v>3</v>
      </c>
      <c r="G998" s="32" t="s">
        <v>80</v>
      </c>
      <c r="H998" s="36" t="s">
        <v>152</v>
      </c>
      <c r="I998" s="36">
        <v>163</v>
      </c>
      <c r="J998" s="79">
        <f>IFERROR(VLOOKUP(I998,'[1]ABC Master Lists'!$B$2:$I$346,4,FALSE)," ")</f>
        <v>22</v>
      </c>
      <c r="K998" s="79">
        <f>IFERROR(VLOOKUP(I998,'[1]ABC Master Lists'!$B$2:$I$346,8,FALSE)," ")</f>
        <v>68</v>
      </c>
      <c r="L998" s="118" t="str">
        <f>IFERROR(VLOOKUP(J998,'[1]ABC Master Lists'!$AQ$2:$AS$12,3,FALSE)," ")</f>
        <v>+</v>
      </c>
      <c r="M998" s="118" t="str">
        <f>IFERROR(VLOOKUP(K998,'[1]ABC Master Lists'!$AD$2:$AE$22,2,FALSE), " ")</f>
        <v>+</v>
      </c>
    </row>
    <row r="999" spans="1:13" x14ac:dyDescent="0.25">
      <c r="D999" s="27">
        <v>24</v>
      </c>
      <c r="E999" s="30" t="s">
        <v>149</v>
      </c>
      <c r="F999" s="17">
        <v>4</v>
      </c>
      <c r="G999" s="33" t="s">
        <v>80</v>
      </c>
      <c r="H999" s="37" t="s">
        <v>20</v>
      </c>
      <c r="I999" s="37">
        <v>200</v>
      </c>
      <c r="J999" s="81">
        <f>IFERROR(VLOOKUP(I999,'[1]ABC Master Lists'!$B$2:$I$346,4,FALSE)," ")</f>
        <v>2229</v>
      </c>
      <c r="K999" s="81">
        <f>IFERROR(VLOOKUP(I999,'[1]ABC Master Lists'!$B$2:$I$346,8,FALSE)," ")</f>
        <v>8</v>
      </c>
      <c r="L999" s="120" t="str">
        <f>IFERROR(VLOOKUP(J999,'[1]ABC Master Lists'!$AQ$2:$AS$12,3,FALSE)," ")</f>
        <v>+</v>
      </c>
      <c r="M999" s="120" t="str">
        <f>IFERROR(VLOOKUP(K999,'[1]ABC Master Lists'!$AD$2:$AE$22,2,FALSE), " ")</f>
        <v>+</v>
      </c>
    </row>
    <row r="1000" spans="1:13" x14ac:dyDescent="0.25">
      <c r="D1000" s="26">
        <v>25</v>
      </c>
      <c r="E1000" s="24" t="s">
        <v>26</v>
      </c>
      <c r="F1000" s="4">
        <v>12</v>
      </c>
      <c r="G1000" s="32" t="s">
        <v>80</v>
      </c>
      <c r="H1000" s="36" t="s">
        <v>5</v>
      </c>
      <c r="I1000" s="36">
        <v>138</v>
      </c>
      <c r="J1000" s="79">
        <f>IFERROR(VLOOKUP(I1000,'[1]ABC Master Lists'!$B$2:$I$346,4,FALSE)," ")</f>
        <v>11</v>
      </c>
      <c r="K1000" s="79">
        <f>IFERROR(VLOOKUP(I1000,'[1]ABC Master Lists'!$B$2:$I$346,8,FALSE)," ")</f>
        <v>6</v>
      </c>
      <c r="L1000" s="118" t="str">
        <f>IFERROR(VLOOKUP(J1000,'[1]ABC Master Lists'!$AQ$2:$AS$12,3,FALSE)," ")</f>
        <v>+</v>
      </c>
      <c r="M1000" s="118" t="str">
        <f>IFERROR(VLOOKUP(K1000,'[1]ABC Master Lists'!$AD$2:$AE$22,2,FALSE), " ")</f>
        <v>+</v>
      </c>
    </row>
    <row r="1001" spans="1:13" x14ac:dyDescent="0.25">
      <c r="D1001" s="27">
        <v>26</v>
      </c>
      <c r="E1001" s="30" t="s">
        <v>82</v>
      </c>
      <c r="F1001" s="17">
        <v>10.3</v>
      </c>
      <c r="G1001" s="33" t="s">
        <v>80</v>
      </c>
      <c r="H1001" s="37" t="s">
        <v>5</v>
      </c>
      <c r="I1001" s="37">
        <v>242</v>
      </c>
      <c r="J1001" s="81">
        <f>IFERROR(VLOOKUP(I1001,'[1]ABC Master Lists'!$B$2:$I$346,4,FALSE)," ")</f>
        <v>1422</v>
      </c>
      <c r="K1001" s="81">
        <f>IFERROR(VLOOKUP(I1001,'[1]ABC Master Lists'!$B$2:$I$346,8,FALSE)," ")</f>
        <v>6</v>
      </c>
      <c r="L1001" s="120" t="str">
        <f>IFERROR(VLOOKUP(J1001,'[1]ABC Master Lists'!$AQ$2:$AS$12,3,FALSE)," ")</f>
        <v xml:space="preserve"> </v>
      </c>
      <c r="M1001" s="120" t="str">
        <f>IFERROR(VLOOKUP(K1001,'[1]ABC Master Lists'!$AD$2:$AE$22,2,FALSE), " ")</f>
        <v>+</v>
      </c>
    </row>
    <row r="1002" spans="1:13" x14ac:dyDescent="0.25">
      <c r="D1002" s="26">
        <v>27</v>
      </c>
      <c r="E1002" s="24" t="s">
        <v>6</v>
      </c>
      <c r="F1002" s="4">
        <v>9</v>
      </c>
      <c r="G1002" s="32" t="s">
        <v>80</v>
      </c>
      <c r="H1002" s="36" t="s">
        <v>152</v>
      </c>
      <c r="I1002" s="36">
        <v>23</v>
      </c>
      <c r="J1002" s="79">
        <f>IFERROR(VLOOKUP(I1002,'[1]ABC Master Lists'!$B$2:$I$346,4,FALSE)," ")</f>
        <v>20</v>
      </c>
      <c r="K1002" s="79">
        <f>IFERROR(VLOOKUP(I1002,'[1]ABC Master Lists'!$B$2:$I$346,8,FALSE)," ")</f>
        <v>68</v>
      </c>
      <c r="L1002" s="118" t="str">
        <f>IFERROR(VLOOKUP(J1002,'[1]ABC Master Lists'!$AQ$2:$AS$12,3,FALSE)," ")</f>
        <v>+</v>
      </c>
      <c r="M1002" s="118" t="str">
        <f>IFERROR(VLOOKUP(K1002,'[1]ABC Master Lists'!$AD$2:$AE$22,2,FALSE), " ")</f>
        <v>+</v>
      </c>
    </row>
    <row r="1003" spans="1:13" x14ac:dyDescent="0.25">
      <c r="A1003" s="31">
        <v>2015</v>
      </c>
      <c r="B1003" s="31" t="s">
        <v>173</v>
      </c>
      <c r="C1003" s="31">
        <v>1</v>
      </c>
      <c r="D1003" s="27">
        <v>1</v>
      </c>
      <c r="E1003" s="30" t="s">
        <v>123</v>
      </c>
      <c r="F1003" s="17" t="s">
        <v>2</v>
      </c>
      <c r="G1003" s="33" t="s">
        <v>2</v>
      </c>
      <c r="H1003" s="37" t="s">
        <v>2</v>
      </c>
      <c r="I1003" s="37">
        <v>1</v>
      </c>
      <c r="J1003" s="81" t="str">
        <f>IFERROR(VLOOKUP(I1003,'[1]ABC Master Lists'!$B$2:$I$346,4,FALSE)," ")</f>
        <v>.</v>
      </c>
      <c r="K1003" s="81" t="str">
        <f>IFERROR(VLOOKUP(I1003,'[1]ABC Master Lists'!$B$2:$I$346,8,FALSE)," ")</f>
        <v>.</v>
      </c>
      <c r="L1003" s="120" t="str">
        <f>IFERROR(VLOOKUP(J1003,'[1]ABC Master Lists'!$AQ$2:$AS$12,3,FALSE)," ")</f>
        <v>+</v>
      </c>
      <c r="M1003" s="120" t="str">
        <f>IFERROR(VLOOKUP(K1003,'[1]ABC Master Lists'!$AD$2:$AE$22,2,FALSE), " ")</f>
        <v>+</v>
      </c>
    </row>
    <row r="1004" spans="1:13" x14ac:dyDescent="0.25">
      <c r="D1004" s="26">
        <v>2</v>
      </c>
      <c r="E1004" s="24" t="s">
        <v>10</v>
      </c>
      <c r="F1004" s="4">
        <v>8</v>
      </c>
      <c r="G1004" s="32" t="s">
        <v>146</v>
      </c>
      <c r="H1004" s="36" t="s">
        <v>5</v>
      </c>
      <c r="I1004" s="36">
        <v>90</v>
      </c>
      <c r="J1004" s="79">
        <f>IFERROR(VLOOKUP(I1004,'[1]ABC Master Lists'!$B$2:$I$346,4,FALSE)," ")</f>
        <v>4</v>
      </c>
      <c r="K1004" s="79">
        <f>IFERROR(VLOOKUP(I1004,'[1]ABC Master Lists'!$B$2:$I$346,8,FALSE)," ")</f>
        <v>6</v>
      </c>
      <c r="L1004" s="118" t="str">
        <f>IFERROR(VLOOKUP(J1004,'[1]ABC Master Lists'!$AQ$2:$AS$12,3,FALSE)," ")</f>
        <v>+</v>
      </c>
      <c r="M1004" s="118" t="str">
        <f>IFERROR(VLOOKUP(K1004,'[1]ABC Master Lists'!$AD$2:$AE$22,2,FALSE), " ")</f>
        <v>+</v>
      </c>
    </row>
    <row r="1005" spans="1:13" x14ac:dyDescent="0.25">
      <c r="D1005" s="27">
        <v>3</v>
      </c>
      <c r="E1005" s="30" t="s">
        <v>6</v>
      </c>
      <c r="F1005" s="17">
        <v>9</v>
      </c>
      <c r="G1005" s="33" t="s">
        <v>80</v>
      </c>
      <c r="H1005" s="37" t="s">
        <v>152</v>
      </c>
      <c r="I1005" s="37">
        <v>22</v>
      </c>
      <c r="J1005" s="81">
        <f>IFERROR(VLOOKUP(I1005,'[1]ABC Master Lists'!$B$2:$I$346,4,FALSE)," ")</f>
        <v>20</v>
      </c>
      <c r="K1005" s="81">
        <f>IFERROR(VLOOKUP(I1005,'[1]ABC Master Lists'!$B$2:$I$346,8,FALSE)," ")</f>
        <v>67</v>
      </c>
      <c r="L1005" s="120" t="str">
        <f>IFERROR(VLOOKUP(J1005,'[1]ABC Master Lists'!$AQ$2:$AS$12,3,FALSE)," ")</f>
        <v>+</v>
      </c>
      <c r="M1005" s="120" t="str">
        <f>IFERROR(VLOOKUP(K1005,'[1]ABC Master Lists'!$AD$2:$AE$22,2,FALSE), " ")</f>
        <v>+</v>
      </c>
    </row>
    <row r="1006" spans="1:13" x14ac:dyDescent="0.25">
      <c r="D1006" s="26">
        <v>4</v>
      </c>
      <c r="E1006" s="24" t="s">
        <v>10</v>
      </c>
      <c r="F1006" s="4">
        <v>8</v>
      </c>
      <c r="G1006" s="32" t="s">
        <v>146</v>
      </c>
      <c r="H1006" s="36" t="s">
        <v>22</v>
      </c>
      <c r="I1006" s="36">
        <v>89</v>
      </c>
      <c r="J1006" s="79">
        <f>IFERROR(VLOOKUP(I1006,'[1]ABC Master Lists'!$B$2:$I$346,4,FALSE)," ")</f>
        <v>4</v>
      </c>
      <c r="K1006" s="79">
        <f>IFERROR(VLOOKUP(I1006,'[1]ABC Master Lists'!$B$2:$I$346,8,FALSE)," ")</f>
        <v>5</v>
      </c>
      <c r="L1006" s="118" t="str">
        <f>IFERROR(VLOOKUP(J1006,'[1]ABC Master Lists'!$AQ$2:$AS$12,3,FALSE)," ")</f>
        <v>+</v>
      </c>
      <c r="M1006" s="118" t="str">
        <f>IFERROR(VLOOKUP(K1006,'[1]ABC Master Lists'!$AD$2:$AE$22,2,FALSE), " ")</f>
        <v>+</v>
      </c>
    </row>
    <row r="1007" spans="1:13" x14ac:dyDescent="0.25">
      <c r="D1007" s="27">
        <v>5</v>
      </c>
      <c r="E1007" s="30" t="s">
        <v>6</v>
      </c>
      <c r="F1007" s="17">
        <v>9</v>
      </c>
      <c r="G1007" s="33" t="s">
        <v>80</v>
      </c>
      <c r="H1007" s="37" t="s">
        <v>22</v>
      </c>
      <c r="I1007" s="37">
        <v>16</v>
      </c>
      <c r="J1007" s="81">
        <f>IFERROR(VLOOKUP(I1007,'[1]ABC Master Lists'!$B$2:$I$346,4,FALSE)," ")</f>
        <v>20</v>
      </c>
      <c r="K1007" s="81">
        <f>IFERROR(VLOOKUP(I1007,'[1]ABC Master Lists'!$B$2:$I$346,8,FALSE)," ")</f>
        <v>5</v>
      </c>
      <c r="L1007" s="120" t="str">
        <f>IFERROR(VLOOKUP(J1007,'[1]ABC Master Lists'!$AQ$2:$AS$12,3,FALSE)," ")</f>
        <v>+</v>
      </c>
      <c r="M1007" s="120" t="str">
        <f>IFERROR(VLOOKUP(K1007,'[1]ABC Master Lists'!$AD$2:$AE$22,2,FALSE), " ")</f>
        <v>+</v>
      </c>
    </row>
    <row r="1008" spans="1:13" x14ac:dyDescent="0.25">
      <c r="D1008" s="27">
        <v>6</v>
      </c>
      <c r="E1008" s="30" t="s">
        <v>10</v>
      </c>
      <c r="F1008" s="17">
        <v>8</v>
      </c>
      <c r="G1008" s="33" t="s">
        <v>146</v>
      </c>
      <c r="H1008" s="37" t="s">
        <v>20</v>
      </c>
      <c r="I1008" s="37">
        <v>92</v>
      </c>
      <c r="J1008" s="81">
        <f>IFERROR(VLOOKUP(I1008,'[1]ABC Master Lists'!$B$2:$I$346,4,FALSE)," ")</f>
        <v>4</v>
      </c>
      <c r="K1008" s="81">
        <f>IFERROR(VLOOKUP(I1008,'[1]ABC Master Lists'!$B$2:$I$346,8,FALSE)," ")</f>
        <v>8</v>
      </c>
      <c r="L1008" s="120" t="str">
        <f>IFERROR(VLOOKUP(J1008,'[1]ABC Master Lists'!$AQ$2:$AS$12,3,FALSE)," ")</f>
        <v>+</v>
      </c>
      <c r="M1008" s="120" t="str">
        <f>IFERROR(VLOOKUP(K1008,'[1]ABC Master Lists'!$AD$2:$AE$22,2,FALSE), " ")</f>
        <v>+</v>
      </c>
    </row>
    <row r="1009" spans="1:13" ht="15.75" thickBot="1" x14ac:dyDescent="0.3">
      <c r="A1009" s="124"/>
      <c r="B1009" s="124"/>
      <c r="C1009" s="124"/>
      <c r="D1009" s="125">
        <v>7</v>
      </c>
      <c r="E1009" s="124" t="s">
        <v>6</v>
      </c>
      <c r="F1009" s="126">
        <v>9</v>
      </c>
      <c r="G1009" s="127" t="s">
        <v>80</v>
      </c>
      <c r="H1009" s="128" t="s">
        <v>20</v>
      </c>
      <c r="I1009" s="128">
        <v>19</v>
      </c>
      <c r="J1009" s="129">
        <f>IFERROR(VLOOKUP(I1009,'[1]ABC Master Lists'!$B$2:$I$346,4,FALSE)," ")</f>
        <v>20</v>
      </c>
      <c r="K1009" s="129">
        <f>IFERROR(VLOOKUP(I1009,'[1]ABC Master Lists'!$B$2:$I$346,8,FALSE)," ")</f>
        <v>8</v>
      </c>
      <c r="L1009" s="130" t="str">
        <f>IFERROR(VLOOKUP(J1009,'[1]ABC Master Lists'!$AQ$2:$AS$12,3,FALSE)," ")</f>
        <v>+</v>
      </c>
      <c r="M1009" s="130" t="str">
        <f>IFERROR(VLOOKUP(K1009,'[1]ABC Master Lists'!$AD$2:$AE$22,2,FALSE), " ")</f>
        <v>+</v>
      </c>
    </row>
  </sheetData>
  <mergeCells count="1">
    <mergeCell ref="F1:G1"/>
  </mergeCells>
  <pageMargins left="0.7" right="0.7" top="0.75" bottom="0.75" header="0.3" footer="0.3"/>
  <pageSetup scale="5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zoomScale="90" zoomScaleNormal="90" workbookViewId="0">
      <selection activeCell="M22" sqref="M22"/>
    </sheetView>
  </sheetViews>
  <sheetFormatPr defaultRowHeight="15" x14ac:dyDescent="0.25"/>
  <cols>
    <col min="1" max="1" width="22.7109375" style="77" customWidth="1"/>
    <col min="2" max="2" width="34.7109375" style="135" bestFit="1" customWidth="1"/>
    <col min="3" max="3" width="15.140625" style="136" customWidth="1"/>
    <col min="4" max="4" width="14.5703125" style="136" bestFit="1" customWidth="1"/>
    <col min="5" max="5" width="11.5703125" style="135" customWidth="1"/>
    <col min="7" max="7" width="34.7109375" style="135" bestFit="1" customWidth="1"/>
    <col min="8" max="8" width="14.42578125" style="77" customWidth="1"/>
    <col min="9" max="9" width="12.7109375" style="77" customWidth="1"/>
    <col min="11" max="11" width="35.28515625" bestFit="1" customWidth="1"/>
    <col min="12" max="12" width="20" bestFit="1" customWidth="1"/>
    <col min="13" max="13" width="9.140625" style="205"/>
  </cols>
  <sheetData>
    <row r="1" spans="1:13" s="137" customFormat="1" ht="46.5" customHeight="1" thickBot="1" x14ac:dyDescent="0.3">
      <c r="A1" s="140" t="s">
        <v>263</v>
      </c>
      <c r="B1" s="141" t="s">
        <v>258</v>
      </c>
      <c r="C1" s="142" t="s">
        <v>257</v>
      </c>
      <c r="D1" s="142" t="s">
        <v>260</v>
      </c>
      <c r="E1" s="141" t="s">
        <v>259</v>
      </c>
      <c r="G1" s="141" t="s">
        <v>258</v>
      </c>
      <c r="H1" s="142" t="s">
        <v>257</v>
      </c>
      <c r="I1" s="142" t="s">
        <v>262</v>
      </c>
      <c r="K1" s="206" t="s">
        <v>270</v>
      </c>
      <c r="L1" s="206"/>
      <c r="M1" s="206"/>
    </row>
    <row r="2" spans="1:13" ht="15.75" thickBot="1" x14ac:dyDescent="0.3">
      <c r="A2" s="78" t="s">
        <v>180</v>
      </c>
      <c r="B2" s="138" t="s">
        <v>182</v>
      </c>
      <c r="C2" s="139" t="s">
        <v>183</v>
      </c>
      <c r="D2" s="139" t="s">
        <v>181</v>
      </c>
      <c r="E2" s="138" t="s">
        <v>181</v>
      </c>
      <c r="G2" s="138" t="s">
        <v>186</v>
      </c>
      <c r="H2" s="139" t="s">
        <v>187</v>
      </c>
      <c r="I2" s="139">
        <v>1</v>
      </c>
      <c r="K2" s="140" t="s">
        <v>258</v>
      </c>
      <c r="L2" s="140" t="s">
        <v>275</v>
      </c>
      <c r="M2" s="142" t="s">
        <v>276</v>
      </c>
    </row>
    <row r="3" spans="1:13" x14ac:dyDescent="0.25">
      <c r="A3" s="143" t="s">
        <v>84</v>
      </c>
      <c r="B3" s="19" t="s">
        <v>184</v>
      </c>
      <c r="C3" s="18" t="s">
        <v>185</v>
      </c>
      <c r="D3" s="18">
        <v>26</v>
      </c>
      <c r="E3" s="19">
        <v>261</v>
      </c>
      <c r="G3" s="2" t="s">
        <v>250</v>
      </c>
      <c r="H3" s="3" t="s">
        <v>251</v>
      </c>
      <c r="I3" s="3">
        <v>2</v>
      </c>
      <c r="K3" s="78" t="s">
        <v>213</v>
      </c>
      <c r="L3" s="78" t="s">
        <v>214</v>
      </c>
      <c r="M3" s="139">
        <v>4</v>
      </c>
    </row>
    <row r="4" spans="1:13" x14ac:dyDescent="0.25">
      <c r="A4" s="144"/>
      <c r="B4" s="22" t="s">
        <v>186</v>
      </c>
      <c r="C4" s="21" t="s">
        <v>187</v>
      </c>
      <c r="D4" s="21">
        <v>1</v>
      </c>
      <c r="E4" s="22"/>
      <c r="G4" s="2" t="s">
        <v>225</v>
      </c>
      <c r="H4" s="3" t="s">
        <v>226</v>
      </c>
      <c r="I4" s="3">
        <v>3</v>
      </c>
      <c r="K4" s="78" t="s">
        <v>230</v>
      </c>
      <c r="L4" s="78" t="s">
        <v>231</v>
      </c>
      <c r="M4" s="139">
        <v>11</v>
      </c>
    </row>
    <row r="5" spans="1:13" x14ac:dyDescent="0.25">
      <c r="A5" s="78" t="s">
        <v>188</v>
      </c>
      <c r="B5" s="138" t="s">
        <v>189</v>
      </c>
      <c r="C5" s="139" t="s">
        <v>190</v>
      </c>
      <c r="D5" s="139">
        <v>8</v>
      </c>
      <c r="E5" s="138">
        <v>8</v>
      </c>
      <c r="G5" s="2" t="s">
        <v>213</v>
      </c>
      <c r="H5" s="3" t="s">
        <v>214</v>
      </c>
      <c r="I5" s="3">
        <v>4</v>
      </c>
      <c r="K5" s="78" t="s">
        <v>266</v>
      </c>
      <c r="L5" s="78" t="s">
        <v>271</v>
      </c>
      <c r="M5" s="139">
        <v>1415</v>
      </c>
    </row>
    <row r="6" spans="1:13" x14ac:dyDescent="0.25">
      <c r="A6" s="145" t="s">
        <v>132</v>
      </c>
      <c r="B6" s="16" t="s">
        <v>184</v>
      </c>
      <c r="C6" s="15" t="s">
        <v>185</v>
      </c>
      <c r="D6" s="15">
        <v>26</v>
      </c>
      <c r="E6" s="16">
        <v>26</v>
      </c>
      <c r="G6" s="2" t="s">
        <v>211</v>
      </c>
      <c r="H6" s="3" t="s">
        <v>212</v>
      </c>
      <c r="I6" s="3">
        <v>5</v>
      </c>
      <c r="K6" s="78" t="s">
        <v>197</v>
      </c>
      <c r="L6" s="78" t="s">
        <v>198</v>
      </c>
      <c r="M6" s="139">
        <v>18</v>
      </c>
    </row>
    <row r="7" spans="1:13" x14ac:dyDescent="0.25">
      <c r="A7" s="78" t="s">
        <v>133</v>
      </c>
      <c r="B7" s="138" t="s">
        <v>191</v>
      </c>
      <c r="C7" s="139" t="s">
        <v>192</v>
      </c>
      <c r="D7" s="139">
        <v>28</v>
      </c>
      <c r="E7" s="138">
        <v>2826</v>
      </c>
      <c r="G7" s="2" t="s">
        <v>228</v>
      </c>
      <c r="H7" s="3" t="s">
        <v>229</v>
      </c>
      <c r="I7" s="3">
        <v>6</v>
      </c>
      <c r="K7" s="78" t="s">
        <v>193</v>
      </c>
      <c r="L7" s="78" t="s">
        <v>194</v>
      </c>
      <c r="M7" s="139">
        <v>20</v>
      </c>
    </row>
    <row r="8" spans="1:13" x14ac:dyDescent="0.25">
      <c r="A8" s="78"/>
      <c r="B8" s="138" t="s">
        <v>184</v>
      </c>
      <c r="C8" s="139" t="s">
        <v>185</v>
      </c>
      <c r="D8" s="139">
        <v>26</v>
      </c>
      <c r="E8" s="138"/>
      <c r="G8" s="148" t="s">
        <v>199</v>
      </c>
      <c r="H8" s="3" t="s">
        <v>200</v>
      </c>
      <c r="I8" s="3">
        <v>7</v>
      </c>
      <c r="K8" s="78" t="s">
        <v>235</v>
      </c>
      <c r="L8" s="78" t="s">
        <v>236</v>
      </c>
      <c r="M8" s="139">
        <v>22</v>
      </c>
    </row>
    <row r="9" spans="1:13" x14ac:dyDescent="0.25">
      <c r="A9" s="145" t="s">
        <v>6</v>
      </c>
      <c r="B9" s="16" t="s">
        <v>193</v>
      </c>
      <c r="C9" s="15" t="s">
        <v>194</v>
      </c>
      <c r="D9" s="15">
        <v>20</v>
      </c>
      <c r="E9" s="16">
        <v>20</v>
      </c>
      <c r="G9" s="2" t="s">
        <v>189</v>
      </c>
      <c r="H9" s="3" t="s">
        <v>190</v>
      </c>
      <c r="I9" s="3">
        <v>8</v>
      </c>
      <c r="K9" s="78" t="s">
        <v>267</v>
      </c>
      <c r="L9" s="78" t="s">
        <v>272</v>
      </c>
      <c r="M9" s="139">
        <v>2229</v>
      </c>
    </row>
    <row r="10" spans="1:13" x14ac:dyDescent="0.25">
      <c r="A10" s="78" t="s">
        <v>56</v>
      </c>
      <c r="B10" s="138" t="s">
        <v>193</v>
      </c>
      <c r="C10" s="139" t="s">
        <v>194</v>
      </c>
      <c r="D10" s="139">
        <v>20</v>
      </c>
      <c r="E10" s="138">
        <v>208</v>
      </c>
      <c r="G10" s="2" t="s">
        <v>238</v>
      </c>
      <c r="H10" s="3" t="s">
        <v>239</v>
      </c>
      <c r="I10" s="3">
        <v>9</v>
      </c>
      <c r="K10" s="78" t="s">
        <v>184</v>
      </c>
      <c r="L10" s="78" t="s">
        <v>185</v>
      </c>
      <c r="M10" s="139">
        <v>26</v>
      </c>
    </row>
    <row r="11" spans="1:13" x14ac:dyDescent="0.25">
      <c r="A11" s="78"/>
      <c r="B11" s="138" t="s">
        <v>189</v>
      </c>
      <c r="C11" s="139" t="s">
        <v>190</v>
      </c>
      <c r="D11" s="139">
        <v>8</v>
      </c>
      <c r="E11" s="138"/>
      <c r="G11" s="2" t="s">
        <v>264</v>
      </c>
      <c r="H11" s="3" t="s">
        <v>244</v>
      </c>
      <c r="I11" s="3">
        <v>10</v>
      </c>
      <c r="K11" s="78" t="s">
        <v>191</v>
      </c>
      <c r="L11" s="78" t="s">
        <v>192</v>
      </c>
      <c r="M11" s="139">
        <v>28</v>
      </c>
    </row>
    <row r="12" spans="1:13" x14ac:dyDescent="0.25">
      <c r="A12" s="145" t="s">
        <v>78</v>
      </c>
      <c r="B12" s="16" t="s">
        <v>195</v>
      </c>
      <c r="C12" s="15" t="s">
        <v>196</v>
      </c>
      <c r="D12" s="15">
        <v>13</v>
      </c>
      <c r="E12" s="16">
        <v>13</v>
      </c>
      <c r="G12" s="2" t="s">
        <v>230</v>
      </c>
      <c r="H12" s="3" t="s">
        <v>231</v>
      </c>
      <c r="I12" s="3">
        <v>11</v>
      </c>
      <c r="K12" s="78" t="s">
        <v>268</v>
      </c>
      <c r="L12" s="78" t="s">
        <v>273</v>
      </c>
      <c r="M12" s="139">
        <v>41624</v>
      </c>
    </row>
    <row r="13" spans="1:13" ht="15.75" thickBot="1" x14ac:dyDescent="0.3">
      <c r="A13" s="78" t="s">
        <v>60</v>
      </c>
      <c r="B13" s="138" t="s">
        <v>191</v>
      </c>
      <c r="C13" s="139" t="s">
        <v>192</v>
      </c>
      <c r="D13" s="139">
        <v>28</v>
      </c>
      <c r="E13" s="138">
        <v>28</v>
      </c>
      <c r="G13" s="2" t="s">
        <v>205</v>
      </c>
      <c r="H13" s="3" t="s">
        <v>206</v>
      </c>
      <c r="I13" s="3">
        <v>12</v>
      </c>
      <c r="K13" s="175" t="s">
        <v>269</v>
      </c>
      <c r="L13" s="175" t="s">
        <v>274</v>
      </c>
      <c r="M13" s="146" t="s">
        <v>2</v>
      </c>
    </row>
    <row r="14" spans="1:13" x14ac:dyDescent="0.25">
      <c r="A14" s="145" t="s">
        <v>18</v>
      </c>
      <c r="B14" s="16" t="s">
        <v>197</v>
      </c>
      <c r="C14" s="15" t="s">
        <v>198</v>
      </c>
      <c r="D14" s="15">
        <v>18</v>
      </c>
      <c r="E14" s="16">
        <v>18</v>
      </c>
      <c r="G14" s="2" t="s">
        <v>195</v>
      </c>
      <c r="H14" s="3" t="s">
        <v>196</v>
      </c>
      <c r="I14" s="3">
        <v>13</v>
      </c>
    </row>
    <row r="15" spans="1:13" x14ac:dyDescent="0.25">
      <c r="A15" s="78" t="s">
        <v>141</v>
      </c>
      <c r="B15" s="147" t="s">
        <v>199</v>
      </c>
      <c r="C15" s="139" t="s">
        <v>200</v>
      </c>
      <c r="D15" s="139">
        <v>7</v>
      </c>
      <c r="E15" s="138">
        <v>7</v>
      </c>
      <c r="G15" s="2" t="s">
        <v>215</v>
      </c>
      <c r="H15" s="3" t="s">
        <v>216</v>
      </c>
      <c r="I15" s="3">
        <v>14</v>
      </c>
    </row>
    <row r="16" spans="1:13" x14ac:dyDescent="0.25">
      <c r="A16" s="143" t="s">
        <v>117</v>
      </c>
      <c r="B16" s="19" t="s">
        <v>201</v>
      </c>
      <c r="C16" s="18" t="s">
        <v>202</v>
      </c>
      <c r="D16" s="18">
        <v>27</v>
      </c>
      <c r="E16" s="19">
        <v>271912</v>
      </c>
      <c r="G16" s="2" t="s">
        <v>217</v>
      </c>
      <c r="H16" s="3" t="s">
        <v>218</v>
      </c>
      <c r="I16" s="3">
        <v>15</v>
      </c>
    </row>
    <row r="17" spans="1:9" x14ac:dyDescent="0.25">
      <c r="A17" s="9"/>
      <c r="B17" s="2" t="s">
        <v>203</v>
      </c>
      <c r="C17" s="3" t="s">
        <v>204</v>
      </c>
      <c r="D17" s="3">
        <v>19</v>
      </c>
      <c r="E17" s="2"/>
      <c r="G17" s="2" t="s">
        <v>233</v>
      </c>
      <c r="H17" s="3" t="s">
        <v>234</v>
      </c>
      <c r="I17" s="3">
        <v>16</v>
      </c>
    </row>
    <row r="18" spans="1:9" x14ac:dyDescent="0.25">
      <c r="A18" s="144"/>
      <c r="B18" s="22" t="s">
        <v>205</v>
      </c>
      <c r="C18" s="21" t="s">
        <v>206</v>
      </c>
      <c r="D18" s="21">
        <v>12</v>
      </c>
      <c r="E18" s="22"/>
      <c r="G18" s="2" t="s">
        <v>223</v>
      </c>
      <c r="H18" s="3" t="s">
        <v>224</v>
      </c>
      <c r="I18" s="3">
        <v>17</v>
      </c>
    </row>
    <row r="19" spans="1:9" x14ac:dyDescent="0.25">
      <c r="A19" s="78" t="s">
        <v>207</v>
      </c>
      <c r="B19" s="138" t="s">
        <v>186</v>
      </c>
      <c r="C19" s="139" t="s">
        <v>187</v>
      </c>
      <c r="D19" s="139">
        <v>1</v>
      </c>
      <c r="E19" s="138">
        <v>125</v>
      </c>
      <c r="G19" s="2" t="s">
        <v>197</v>
      </c>
      <c r="H19" s="3" t="s">
        <v>198</v>
      </c>
      <c r="I19" s="3">
        <v>18</v>
      </c>
    </row>
    <row r="20" spans="1:9" x14ac:dyDescent="0.25">
      <c r="A20" s="78"/>
      <c r="B20" s="138" t="s">
        <v>208</v>
      </c>
      <c r="C20" s="139" t="s">
        <v>209</v>
      </c>
      <c r="D20" s="139">
        <v>25</v>
      </c>
      <c r="E20" s="138"/>
      <c r="G20" s="2" t="s">
        <v>203</v>
      </c>
      <c r="H20" s="3" t="s">
        <v>204</v>
      </c>
      <c r="I20" s="3">
        <v>19</v>
      </c>
    </row>
    <row r="21" spans="1:9" x14ac:dyDescent="0.25">
      <c r="A21" s="145" t="s">
        <v>15</v>
      </c>
      <c r="B21" s="16" t="s">
        <v>184</v>
      </c>
      <c r="C21" s="15" t="s">
        <v>185</v>
      </c>
      <c r="D21" s="15">
        <v>26</v>
      </c>
      <c r="E21" s="16">
        <v>26</v>
      </c>
      <c r="G21" s="2" t="s">
        <v>193</v>
      </c>
      <c r="H21" s="3" t="s">
        <v>194</v>
      </c>
      <c r="I21" s="3">
        <v>20</v>
      </c>
    </row>
    <row r="22" spans="1:9" x14ac:dyDescent="0.25">
      <c r="A22" s="78" t="s">
        <v>210</v>
      </c>
      <c r="B22" s="138" t="s">
        <v>211</v>
      </c>
      <c r="C22" s="139" t="s">
        <v>212</v>
      </c>
      <c r="D22" s="139">
        <v>5</v>
      </c>
      <c r="E22" s="138">
        <v>5</v>
      </c>
      <c r="G22" s="2" t="s">
        <v>241</v>
      </c>
      <c r="H22" s="3" t="s">
        <v>242</v>
      </c>
      <c r="I22" s="3">
        <v>21</v>
      </c>
    </row>
    <row r="23" spans="1:9" x14ac:dyDescent="0.25">
      <c r="A23" s="145" t="s">
        <v>10</v>
      </c>
      <c r="B23" s="16" t="s">
        <v>213</v>
      </c>
      <c r="C23" s="15" t="s">
        <v>214</v>
      </c>
      <c r="D23" s="15">
        <v>4</v>
      </c>
      <c r="E23" s="16">
        <v>4</v>
      </c>
      <c r="G23" s="2" t="s">
        <v>235</v>
      </c>
      <c r="H23" s="3" t="s">
        <v>236</v>
      </c>
      <c r="I23" s="3">
        <v>22</v>
      </c>
    </row>
    <row r="24" spans="1:9" x14ac:dyDescent="0.25">
      <c r="A24" s="78" t="s">
        <v>32</v>
      </c>
      <c r="B24" s="138" t="s">
        <v>208</v>
      </c>
      <c r="C24" s="139" t="s">
        <v>209</v>
      </c>
      <c r="D24" s="139">
        <v>25</v>
      </c>
      <c r="E24" s="138">
        <v>25</v>
      </c>
      <c r="G24" s="2" t="s">
        <v>252</v>
      </c>
      <c r="H24" s="3" t="s">
        <v>253</v>
      </c>
      <c r="I24" s="3">
        <v>23</v>
      </c>
    </row>
    <row r="25" spans="1:9" x14ac:dyDescent="0.25">
      <c r="A25" s="145" t="s">
        <v>48</v>
      </c>
      <c r="B25" s="16" t="s">
        <v>215</v>
      </c>
      <c r="C25" s="15" t="s">
        <v>216</v>
      </c>
      <c r="D25" s="15">
        <v>14</v>
      </c>
      <c r="E25" s="16">
        <v>1415</v>
      </c>
      <c r="G25" s="2" t="s">
        <v>219</v>
      </c>
      <c r="H25" s="3" t="s">
        <v>220</v>
      </c>
      <c r="I25" s="3">
        <v>24</v>
      </c>
    </row>
    <row r="26" spans="1:9" x14ac:dyDescent="0.25">
      <c r="A26" s="78"/>
      <c r="B26" s="138" t="s">
        <v>217</v>
      </c>
      <c r="C26" s="139" t="s">
        <v>218</v>
      </c>
      <c r="D26" s="139">
        <v>15</v>
      </c>
      <c r="E26" s="138"/>
      <c r="G26" s="2" t="s">
        <v>208</v>
      </c>
      <c r="H26" s="3" t="s">
        <v>209</v>
      </c>
      <c r="I26" s="3">
        <v>25</v>
      </c>
    </row>
    <row r="27" spans="1:9" x14ac:dyDescent="0.25">
      <c r="A27" s="145" t="s">
        <v>14</v>
      </c>
      <c r="B27" s="16" t="s">
        <v>219</v>
      </c>
      <c r="C27" s="15" t="s">
        <v>220</v>
      </c>
      <c r="D27" s="15">
        <v>24</v>
      </c>
      <c r="E27" s="16">
        <v>24</v>
      </c>
      <c r="G27" s="2" t="s">
        <v>184</v>
      </c>
      <c r="H27" s="3" t="s">
        <v>185</v>
      </c>
      <c r="I27" s="3">
        <v>26</v>
      </c>
    </row>
    <row r="28" spans="1:9" x14ac:dyDescent="0.25">
      <c r="A28" s="78" t="s">
        <v>221</v>
      </c>
      <c r="B28" s="138" t="s">
        <v>182</v>
      </c>
      <c r="C28" s="139" t="s">
        <v>183</v>
      </c>
      <c r="D28" s="139" t="s">
        <v>181</v>
      </c>
      <c r="E28" s="138" t="s">
        <v>181</v>
      </c>
      <c r="G28" s="2" t="s">
        <v>201</v>
      </c>
      <c r="H28" s="3" t="s">
        <v>202</v>
      </c>
      <c r="I28" s="3">
        <v>27</v>
      </c>
    </row>
    <row r="29" spans="1:9" x14ac:dyDescent="0.25">
      <c r="A29" s="145" t="s">
        <v>222</v>
      </c>
      <c r="B29" s="16" t="s">
        <v>191</v>
      </c>
      <c r="C29" s="15" t="s">
        <v>192</v>
      </c>
      <c r="D29" s="15">
        <v>28</v>
      </c>
      <c r="E29" s="16">
        <v>28</v>
      </c>
      <c r="G29" s="2" t="s">
        <v>191</v>
      </c>
      <c r="H29" s="3" t="s">
        <v>192</v>
      </c>
      <c r="I29" s="3">
        <v>28</v>
      </c>
    </row>
    <row r="30" spans="1:9" x14ac:dyDescent="0.25">
      <c r="A30" s="78" t="s">
        <v>74</v>
      </c>
      <c r="B30" s="138" t="s">
        <v>223</v>
      </c>
      <c r="C30" s="139" t="s">
        <v>224</v>
      </c>
      <c r="D30" s="139">
        <v>17</v>
      </c>
      <c r="E30" s="138">
        <v>173</v>
      </c>
      <c r="G30" s="2" t="s">
        <v>247</v>
      </c>
      <c r="H30" s="3" t="s">
        <v>248</v>
      </c>
      <c r="I30" s="3">
        <v>29</v>
      </c>
    </row>
    <row r="31" spans="1:9" x14ac:dyDescent="0.25">
      <c r="A31" s="78"/>
      <c r="B31" s="138" t="s">
        <v>225</v>
      </c>
      <c r="C31" s="139" t="s">
        <v>226</v>
      </c>
      <c r="D31" s="139">
        <v>3</v>
      </c>
      <c r="E31" s="138"/>
      <c r="G31" s="2" t="s">
        <v>246</v>
      </c>
      <c r="H31" s="3" t="s">
        <v>261</v>
      </c>
      <c r="I31" s="3">
        <v>30</v>
      </c>
    </row>
    <row r="32" spans="1:9" ht="15.75" thickBot="1" x14ac:dyDescent="0.3">
      <c r="A32" s="145" t="s">
        <v>227</v>
      </c>
      <c r="B32" s="16" t="s">
        <v>228</v>
      </c>
      <c r="C32" s="15" t="s">
        <v>229</v>
      </c>
      <c r="D32" s="15">
        <v>6</v>
      </c>
      <c r="E32" s="16">
        <v>6</v>
      </c>
      <c r="G32" s="149" t="s">
        <v>182</v>
      </c>
      <c r="H32" s="146" t="s">
        <v>183</v>
      </c>
      <c r="I32" s="146" t="s">
        <v>181</v>
      </c>
    </row>
    <row r="33" spans="1:5" x14ac:dyDescent="0.25">
      <c r="A33" s="78" t="s">
        <v>136</v>
      </c>
      <c r="B33" s="138" t="s">
        <v>184</v>
      </c>
      <c r="C33" s="139" t="s">
        <v>185</v>
      </c>
      <c r="D33" s="139">
        <v>26</v>
      </c>
      <c r="E33" s="138">
        <v>265</v>
      </c>
    </row>
    <row r="34" spans="1:5" x14ac:dyDescent="0.25">
      <c r="A34" s="78"/>
      <c r="B34" s="138" t="s">
        <v>211</v>
      </c>
      <c r="C34" s="139" t="s">
        <v>212</v>
      </c>
      <c r="D34" s="139">
        <v>5</v>
      </c>
      <c r="E34" s="138"/>
    </row>
    <row r="35" spans="1:5" x14ac:dyDescent="0.25">
      <c r="A35" s="145" t="s">
        <v>26</v>
      </c>
      <c r="B35" s="16" t="s">
        <v>230</v>
      </c>
      <c r="C35" s="15" t="s">
        <v>231</v>
      </c>
      <c r="D35" s="15">
        <v>11</v>
      </c>
      <c r="E35" s="16">
        <v>11</v>
      </c>
    </row>
    <row r="36" spans="1:5" x14ac:dyDescent="0.25">
      <c r="A36" s="78" t="s">
        <v>232</v>
      </c>
      <c r="B36" s="138" t="s">
        <v>208</v>
      </c>
      <c r="C36" s="139" t="s">
        <v>209</v>
      </c>
      <c r="D36" s="139">
        <v>25</v>
      </c>
      <c r="E36" s="138">
        <v>25</v>
      </c>
    </row>
    <row r="37" spans="1:5" x14ac:dyDescent="0.25">
      <c r="A37" s="143" t="s">
        <v>44</v>
      </c>
      <c r="B37" s="19" t="s">
        <v>233</v>
      </c>
      <c r="C37" s="18" t="s">
        <v>234</v>
      </c>
      <c r="D37" s="18">
        <v>16</v>
      </c>
      <c r="E37" s="19">
        <v>1624</v>
      </c>
    </row>
    <row r="38" spans="1:5" x14ac:dyDescent="0.25">
      <c r="A38" s="144"/>
      <c r="B38" s="22" t="s">
        <v>219</v>
      </c>
      <c r="C38" s="21" t="s">
        <v>220</v>
      </c>
      <c r="D38" s="21">
        <v>24</v>
      </c>
      <c r="E38" s="22"/>
    </row>
    <row r="39" spans="1:5" x14ac:dyDescent="0.25">
      <c r="A39" s="78" t="s">
        <v>13</v>
      </c>
      <c r="B39" s="138" t="s">
        <v>235</v>
      </c>
      <c r="C39" s="139" t="s">
        <v>236</v>
      </c>
      <c r="D39" s="139">
        <v>22</v>
      </c>
      <c r="E39" s="138">
        <v>22</v>
      </c>
    </row>
    <row r="40" spans="1:5" x14ac:dyDescent="0.25">
      <c r="A40" s="143" t="s">
        <v>82</v>
      </c>
      <c r="B40" s="19" t="s">
        <v>237</v>
      </c>
      <c r="C40" s="18" t="s">
        <v>216</v>
      </c>
      <c r="D40" s="18">
        <v>14</v>
      </c>
      <c r="E40" s="19">
        <v>1422</v>
      </c>
    </row>
    <row r="41" spans="1:5" x14ac:dyDescent="0.25">
      <c r="A41" s="144"/>
      <c r="B41" s="22" t="s">
        <v>235</v>
      </c>
      <c r="C41" s="21" t="s">
        <v>236</v>
      </c>
      <c r="D41" s="21">
        <v>22</v>
      </c>
      <c r="E41" s="22"/>
    </row>
    <row r="42" spans="1:5" x14ac:dyDescent="0.25">
      <c r="A42" s="78" t="s">
        <v>31</v>
      </c>
      <c r="B42" s="138" t="s">
        <v>186</v>
      </c>
      <c r="C42" s="139" t="s">
        <v>187</v>
      </c>
      <c r="D42" s="139">
        <v>1</v>
      </c>
      <c r="E42" s="138">
        <v>1</v>
      </c>
    </row>
    <row r="43" spans="1:5" x14ac:dyDescent="0.25">
      <c r="A43" s="143" t="s">
        <v>49</v>
      </c>
      <c r="B43" s="19" t="s">
        <v>186</v>
      </c>
      <c r="C43" s="18" t="s">
        <v>187</v>
      </c>
      <c r="D43" s="18">
        <v>1</v>
      </c>
      <c r="E43" s="19">
        <v>19</v>
      </c>
    </row>
    <row r="44" spans="1:5" x14ac:dyDescent="0.25">
      <c r="A44" s="144"/>
      <c r="B44" s="22" t="s">
        <v>238</v>
      </c>
      <c r="C44" s="21" t="s">
        <v>239</v>
      </c>
      <c r="D44" s="21">
        <v>9</v>
      </c>
      <c r="E44" s="22"/>
    </row>
    <row r="45" spans="1:5" x14ac:dyDescent="0.25">
      <c r="A45" s="78" t="s">
        <v>240</v>
      </c>
      <c r="B45" s="138" t="s">
        <v>186</v>
      </c>
      <c r="C45" s="139" t="s">
        <v>187</v>
      </c>
      <c r="D45" s="139">
        <v>1</v>
      </c>
      <c r="E45" s="138">
        <v>121</v>
      </c>
    </row>
    <row r="46" spans="1:5" x14ac:dyDescent="0.25">
      <c r="A46" s="78"/>
      <c r="B46" s="138" t="s">
        <v>241</v>
      </c>
      <c r="C46" s="139" t="s">
        <v>242</v>
      </c>
      <c r="D46" s="139">
        <v>21</v>
      </c>
      <c r="E46" s="138"/>
    </row>
    <row r="47" spans="1:5" x14ac:dyDescent="0.25">
      <c r="A47" s="145" t="s">
        <v>243</v>
      </c>
      <c r="B47" s="16" t="s">
        <v>264</v>
      </c>
      <c r="C47" s="15" t="s">
        <v>244</v>
      </c>
      <c r="D47" s="15">
        <v>10</v>
      </c>
      <c r="E47" s="16">
        <v>10</v>
      </c>
    </row>
    <row r="48" spans="1:5" x14ac:dyDescent="0.25">
      <c r="A48" s="78" t="s">
        <v>245</v>
      </c>
      <c r="B48" s="138" t="s">
        <v>246</v>
      </c>
      <c r="C48" s="139" t="s">
        <v>261</v>
      </c>
      <c r="D48" s="139">
        <v>30</v>
      </c>
      <c r="E48" s="138">
        <v>30</v>
      </c>
    </row>
    <row r="49" spans="1:5" x14ac:dyDescent="0.25">
      <c r="A49" s="143" t="s">
        <v>38</v>
      </c>
      <c r="B49" s="19" t="s">
        <v>241</v>
      </c>
      <c r="C49" s="18" t="s">
        <v>242</v>
      </c>
      <c r="D49" s="18">
        <v>21</v>
      </c>
      <c r="E49" s="19">
        <v>2129</v>
      </c>
    </row>
    <row r="50" spans="1:5" x14ac:dyDescent="0.25">
      <c r="A50" s="144"/>
      <c r="B50" s="22" t="s">
        <v>247</v>
      </c>
      <c r="C50" s="21" t="s">
        <v>248</v>
      </c>
      <c r="D50" s="21">
        <v>29</v>
      </c>
      <c r="E50" s="22"/>
    </row>
    <row r="51" spans="1:5" x14ac:dyDescent="0.25">
      <c r="A51" s="78" t="s">
        <v>249</v>
      </c>
      <c r="B51" s="138" t="s">
        <v>235</v>
      </c>
      <c r="C51" s="139" t="s">
        <v>236</v>
      </c>
      <c r="D51" s="139">
        <v>22</v>
      </c>
      <c r="E51" s="138">
        <v>2229</v>
      </c>
    </row>
    <row r="52" spans="1:5" x14ac:dyDescent="0.25">
      <c r="A52" s="78"/>
      <c r="B52" s="138" t="s">
        <v>247</v>
      </c>
      <c r="C52" s="139" t="s">
        <v>248</v>
      </c>
      <c r="D52" s="139">
        <v>29</v>
      </c>
      <c r="E52" s="138"/>
    </row>
    <row r="53" spans="1:5" x14ac:dyDescent="0.25">
      <c r="A53" s="145" t="s">
        <v>36</v>
      </c>
      <c r="B53" s="16" t="s">
        <v>217</v>
      </c>
      <c r="C53" s="15" t="s">
        <v>218</v>
      </c>
      <c r="D53" s="15">
        <v>15</v>
      </c>
      <c r="E53" s="16">
        <v>15</v>
      </c>
    </row>
    <row r="54" spans="1:5" x14ac:dyDescent="0.25">
      <c r="A54" s="78" t="s">
        <v>35</v>
      </c>
      <c r="B54" s="138" t="s">
        <v>191</v>
      </c>
      <c r="C54" s="139" t="s">
        <v>192</v>
      </c>
      <c r="D54" s="139">
        <v>28</v>
      </c>
      <c r="E54" s="138">
        <v>28</v>
      </c>
    </row>
    <row r="55" spans="1:5" x14ac:dyDescent="0.25">
      <c r="A55" s="143" t="s">
        <v>75</v>
      </c>
      <c r="B55" s="19" t="s">
        <v>186</v>
      </c>
      <c r="C55" s="18" t="s">
        <v>187</v>
      </c>
      <c r="D55" s="18">
        <v>1</v>
      </c>
      <c r="E55" s="19">
        <v>1221</v>
      </c>
    </row>
    <row r="56" spans="1:5" x14ac:dyDescent="0.25">
      <c r="A56" s="9"/>
      <c r="B56" s="2" t="s">
        <v>250</v>
      </c>
      <c r="C56" s="3" t="s">
        <v>251</v>
      </c>
      <c r="D56" s="3">
        <v>2</v>
      </c>
      <c r="E56" s="2"/>
    </row>
    <row r="57" spans="1:5" x14ac:dyDescent="0.25">
      <c r="A57" s="144"/>
      <c r="B57" s="22" t="s">
        <v>241</v>
      </c>
      <c r="C57" s="21" t="s">
        <v>242</v>
      </c>
      <c r="D57" s="21">
        <v>21</v>
      </c>
      <c r="E57" s="22"/>
    </row>
    <row r="58" spans="1:5" x14ac:dyDescent="0.25">
      <c r="A58" s="78" t="s">
        <v>128</v>
      </c>
      <c r="B58" s="138" t="s">
        <v>252</v>
      </c>
      <c r="C58" s="139" t="s">
        <v>253</v>
      </c>
      <c r="D58" s="139">
        <v>23</v>
      </c>
      <c r="E58" s="138">
        <v>23</v>
      </c>
    </row>
    <row r="59" spans="1:5" x14ac:dyDescent="0.25">
      <c r="A59" s="143" t="s">
        <v>254</v>
      </c>
      <c r="B59" s="19" t="s">
        <v>215</v>
      </c>
      <c r="C59" s="18" t="s">
        <v>216</v>
      </c>
      <c r="D59" s="18">
        <v>14</v>
      </c>
      <c r="E59" s="19">
        <v>1426</v>
      </c>
    </row>
    <row r="60" spans="1:5" x14ac:dyDescent="0.25">
      <c r="A60" s="144"/>
      <c r="B60" s="22" t="s">
        <v>184</v>
      </c>
      <c r="C60" s="21" t="s">
        <v>185</v>
      </c>
      <c r="D60" s="21">
        <v>26</v>
      </c>
      <c r="E60" s="22"/>
    </row>
    <row r="61" spans="1:5" ht="15.75" thickBot="1" x14ac:dyDescent="0.3">
      <c r="A61" s="175" t="s">
        <v>255</v>
      </c>
      <c r="B61" s="149" t="s">
        <v>256</v>
      </c>
      <c r="C61" s="146" t="s">
        <v>183</v>
      </c>
      <c r="D61" s="146" t="s">
        <v>181</v>
      </c>
      <c r="E61" s="149" t="s">
        <v>181</v>
      </c>
    </row>
    <row r="199" spans="1:5" x14ac:dyDescent="0.25">
      <c r="A199" s="77" t="s">
        <v>4</v>
      </c>
      <c r="B199" s="135" t="s">
        <v>80</v>
      </c>
      <c r="E199" s="135">
        <v>8</v>
      </c>
    </row>
    <row r="200" spans="1:5" x14ac:dyDescent="0.25">
      <c r="A200" s="77" t="s">
        <v>4</v>
      </c>
      <c r="B200" s="135" t="s">
        <v>80</v>
      </c>
      <c r="E200" s="135">
        <v>12</v>
      </c>
    </row>
    <row r="201" spans="1:5" x14ac:dyDescent="0.25">
      <c r="A201" s="77" t="s">
        <v>4</v>
      </c>
      <c r="B201" s="135" t="s">
        <v>80</v>
      </c>
      <c r="E201" s="135">
        <v>16</v>
      </c>
    </row>
    <row r="202" spans="1:5" x14ac:dyDescent="0.25">
      <c r="A202" s="77" t="s">
        <v>4</v>
      </c>
      <c r="B202" s="135" t="s">
        <v>80</v>
      </c>
      <c r="E202" s="135">
        <v>13.7</v>
      </c>
    </row>
  </sheetData>
  <mergeCells count="1"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90" zoomScaleNormal="90" workbookViewId="0">
      <selection activeCell="F26" sqref="F26"/>
    </sheetView>
  </sheetViews>
  <sheetFormatPr defaultRowHeight="15" x14ac:dyDescent="0.25"/>
  <cols>
    <col min="1" max="1" width="24.140625" style="77" customWidth="1"/>
    <col min="2" max="2" width="12.140625" style="135" customWidth="1"/>
    <col min="3" max="3" width="11.42578125" style="136" customWidth="1"/>
    <col min="5" max="5" width="11.5703125" bestFit="1" customWidth="1"/>
    <col min="6" max="6" width="12" style="205" bestFit="1" customWidth="1"/>
  </cols>
  <sheetData>
    <row r="1" spans="1:6" s="207" customFormat="1" ht="49.5" customHeight="1" thickBot="1" x14ac:dyDescent="0.3">
      <c r="A1" s="210" t="s">
        <v>292</v>
      </c>
      <c r="B1" s="209" t="s">
        <v>277</v>
      </c>
      <c r="C1" s="208" t="s">
        <v>177</v>
      </c>
      <c r="E1" s="210" t="s">
        <v>291</v>
      </c>
      <c r="F1" s="208" t="s">
        <v>293</v>
      </c>
    </row>
    <row r="2" spans="1:6" x14ac:dyDescent="0.25">
      <c r="A2" s="78" t="s">
        <v>278</v>
      </c>
      <c r="B2" s="138">
        <v>1</v>
      </c>
      <c r="C2" s="139"/>
      <c r="E2" s="78" t="s">
        <v>278</v>
      </c>
      <c r="F2" s="139">
        <v>1</v>
      </c>
    </row>
    <row r="3" spans="1:6" x14ac:dyDescent="0.25">
      <c r="A3" s="78" t="s">
        <v>121</v>
      </c>
      <c r="B3" s="138">
        <v>2</v>
      </c>
      <c r="C3" s="139"/>
      <c r="E3" s="78" t="s">
        <v>121</v>
      </c>
      <c r="F3" s="139">
        <v>2</v>
      </c>
    </row>
    <row r="4" spans="1:6" x14ac:dyDescent="0.25">
      <c r="A4" s="78" t="s">
        <v>62</v>
      </c>
      <c r="B4" s="138">
        <v>3</v>
      </c>
      <c r="C4" s="139"/>
      <c r="E4" s="78" t="s">
        <v>62</v>
      </c>
      <c r="F4" s="139">
        <v>3</v>
      </c>
    </row>
    <row r="5" spans="1:6" x14ac:dyDescent="0.25">
      <c r="A5" s="78" t="s">
        <v>22</v>
      </c>
      <c r="B5" s="138">
        <v>4</v>
      </c>
      <c r="C5" s="139"/>
      <c r="E5" s="78" t="s">
        <v>22</v>
      </c>
      <c r="F5" s="139">
        <v>4</v>
      </c>
    </row>
    <row r="6" spans="1:6" x14ac:dyDescent="0.25">
      <c r="A6" s="78" t="s">
        <v>34</v>
      </c>
      <c r="B6" s="138">
        <v>5</v>
      </c>
      <c r="C6" s="139" t="s">
        <v>279</v>
      </c>
      <c r="E6" s="78" t="s">
        <v>34</v>
      </c>
      <c r="F6" s="139">
        <v>5</v>
      </c>
    </row>
    <row r="7" spans="1:6" x14ac:dyDescent="0.25">
      <c r="A7" s="78" t="s">
        <v>5</v>
      </c>
      <c r="B7" s="138">
        <v>6</v>
      </c>
      <c r="C7" s="139" t="s">
        <v>279</v>
      </c>
      <c r="E7" s="78" t="s">
        <v>5</v>
      </c>
      <c r="F7" s="139">
        <v>6</v>
      </c>
    </row>
    <row r="8" spans="1:6" x14ac:dyDescent="0.25">
      <c r="A8" s="78" t="s">
        <v>57</v>
      </c>
      <c r="B8" s="138">
        <v>7</v>
      </c>
      <c r="C8" s="139" t="s">
        <v>279</v>
      </c>
      <c r="E8" s="78" t="s">
        <v>57</v>
      </c>
      <c r="F8" s="139">
        <v>7</v>
      </c>
    </row>
    <row r="9" spans="1:6" x14ac:dyDescent="0.25">
      <c r="A9" s="78" t="s">
        <v>20</v>
      </c>
      <c r="B9" s="138">
        <v>8</v>
      </c>
      <c r="C9" s="139" t="s">
        <v>279</v>
      </c>
      <c r="E9" s="78" t="s">
        <v>20</v>
      </c>
      <c r="F9" s="139">
        <v>8</v>
      </c>
    </row>
    <row r="10" spans="1:6" x14ac:dyDescent="0.25">
      <c r="A10" s="78" t="s">
        <v>64</v>
      </c>
      <c r="B10" s="138">
        <v>9</v>
      </c>
      <c r="C10" s="139"/>
      <c r="E10" s="78" t="s">
        <v>64</v>
      </c>
      <c r="F10" s="139">
        <v>9</v>
      </c>
    </row>
    <row r="11" spans="1:6" ht="15.75" thickBot="1" x14ac:dyDescent="0.3">
      <c r="A11" s="78" t="s">
        <v>65</v>
      </c>
      <c r="B11" s="138">
        <v>10</v>
      </c>
      <c r="C11" s="139" t="s">
        <v>279</v>
      </c>
      <c r="E11" s="175" t="s">
        <v>65</v>
      </c>
      <c r="F11" s="146">
        <v>10</v>
      </c>
    </row>
    <row r="12" spans="1:6" x14ac:dyDescent="0.25">
      <c r="A12" s="78" t="s">
        <v>281</v>
      </c>
      <c r="B12" s="138">
        <v>16</v>
      </c>
      <c r="C12" s="139"/>
    </row>
    <row r="13" spans="1:6" x14ac:dyDescent="0.25">
      <c r="A13" s="78" t="s">
        <v>282</v>
      </c>
      <c r="B13" s="138">
        <v>48</v>
      </c>
      <c r="C13" s="139"/>
    </row>
    <row r="14" spans="1:6" x14ac:dyDescent="0.25">
      <c r="A14" s="78" t="s">
        <v>283</v>
      </c>
      <c r="B14" s="138">
        <v>56</v>
      </c>
      <c r="C14" s="139"/>
    </row>
    <row r="15" spans="1:6" x14ac:dyDescent="0.25">
      <c r="A15" s="78" t="s">
        <v>284</v>
      </c>
      <c r="B15" s="138">
        <v>58</v>
      </c>
      <c r="C15" s="139"/>
    </row>
    <row r="16" spans="1:6" x14ac:dyDescent="0.25">
      <c r="A16" s="78" t="s">
        <v>285</v>
      </c>
      <c r="B16" s="138">
        <v>67</v>
      </c>
      <c r="C16" s="139" t="s">
        <v>279</v>
      </c>
    </row>
    <row r="17" spans="1:3" x14ac:dyDescent="0.25">
      <c r="A17" s="78" t="s">
        <v>286</v>
      </c>
      <c r="B17" s="138">
        <v>68</v>
      </c>
      <c r="C17" s="139" t="s">
        <v>279</v>
      </c>
    </row>
    <row r="18" spans="1:3" x14ac:dyDescent="0.25">
      <c r="A18" s="78" t="s">
        <v>287</v>
      </c>
      <c r="B18" s="138">
        <v>78</v>
      </c>
      <c r="C18" s="139"/>
    </row>
    <row r="19" spans="1:3" x14ac:dyDescent="0.25">
      <c r="A19" s="78" t="s">
        <v>288</v>
      </c>
      <c r="B19" s="138">
        <v>810</v>
      </c>
      <c r="C19" s="139"/>
    </row>
    <row r="20" spans="1:3" x14ac:dyDescent="0.25">
      <c r="A20" s="78" t="s">
        <v>289</v>
      </c>
      <c r="B20" s="138">
        <v>56810</v>
      </c>
      <c r="C20" s="139"/>
    </row>
    <row r="21" spans="1:3" x14ac:dyDescent="0.25">
      <c r="A21" s="9" t="s">
        <v>290</v>
      </c>
      <c r="B21" s="2" t="s">
        <v>280</v>
      </c>
      <c r="C21" s="3"/>
    </row>
    <row r="22" spans="1:3" ht="15.75" thickBot="1" x14ac:dyDescent="0.3">
      <c r="A22" s="175" t="s">
        <v>274</v>
      </c>
      <c r="B22" s="149" t="s">
        <v>2</v>
      </c>
      <c r="C22" s="146" t="s">
        <v>279</v>
      </c>
    </row>
  </sheetData>
  <sortState ref="B2:C22">
    <sortCondition ref="B2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Treatment Master List</vt:lpstr>
      <vt:lpstr>Active Ingredient Key</vt:lpstr>
      <vt:lpstr>Timing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Willbur</dc:creator>
  <cp:lastModifiedBy>Willbur, Jaime</cp:lastModifiedBy>
  <dcterms:created xsi:type="dcterms:W3CDTF">2018-10-11T16:20:49Z</dcterms:created>
  <dcterms:modified xsi:type="dcterms:W3CDTF">2018-10-16T21:03:55Z</dcterms:modified>
</cp:coreProperties>
</file>